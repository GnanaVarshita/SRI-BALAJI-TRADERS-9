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adaxin" sheetId="1" state="visible" r:id="rId1"/>
    <sheet name="Hibifen" sheetId="2" state="visible" r:id="rId2"/>
    <sheet name="Mavilon" sheetId="3" state="visible" r:id="rId3"/>
    <sheet name="Pexal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FF"/>
      <sz val="10"/>
    </font>
    <font>
      <name val="Calibri"/>
      <b val="1"/>
      <color rgb="00008000"/>
      <sz val="10"/>
    </font>
    <font>
      <name val="Calibri"/>
      <b val="1"/>
      <sz val="10"/>
    </font>
    <font>
      <name val="Calibri"/>
      <b val="1"/>
      <sz val="11"/>
    </font>
    <font>
      <name val="Calibri"/>
      <sz val="10"/>
    </font>
    <font>
      <name val="Calibri"/>
      <b val="1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C2D69B"/>
        <bgColor rgb="00C2D69B"/>
      </patternFill>
    </fill>
    <fill>
      <patternFill patternType="solid">
        <fgColor rgb="00EBF1DE"/>
        <bgColor rgb="00EBF1DE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double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3" fontId="6" fillId="0" borderId="1" pivotButton="0" quotePrefix="0" xfId="0"/>
    <xf numFmtId="3" fontId="2" fillId="0" borderId="1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5" fillId="0" borderId="2" pivotButton="0" quotePrefix="0" xfId="0"/>
    <xf numFmtId="3" fontId="5" fillId="0" borderId="2" pivotButton="0" quotePrefix="0" xfId="0"/>
    <xf numFmtId="4" fontId="5" fillId="0" borderId="2" pivotButton="0" quotePrefix="0" xfId="0"/>
    <xf numFmtId="0" fontId="3" fillId="0" borderId="1" pivotButton="0" quotePrefix="0" xfId="0"/>
    <xf numFmtId="0" fontId="0" fillId="0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Y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3" customWidth="1" min="4" max="4"/>
    <col width="8" customWidth="1" min="5" max="5"/>
    <col width="13" customWidth="1" min="6" max="6"/>
    <col width="9" customWidth="1" min="7" max="7"/>
    <col width="14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22" customWidth="1" min="20" max="20"/>
    <col width="13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16" customHeight="1"/>
    <row r="2" ht="16" customHeight="1"/>
    <row r="3" ht="16" customHeight="1">
      <c r="T3" s="1" t="inlineStr">
        <is>
          <t>Mega Farmer Meeting / New Product  lauches(RGL)</t>
        </is>
      </c>
      <c r="U3" s="2" t="n">
        <v>120000</v>
      </c>
    </row>
    <row r="4" ht="16" customHeight="1">
      <c r="T4" s="1" t="inlineStr">
        <is>
          <t>Large Farmer Meeting (RGL)</t>
        </is>
      </c>
      <c r="U4" s="2" t="n">
        <v>120000</v>
      </c>
    </row>
    <row r="5" ht="16" customHeight="1">
      <c r="T5" s="1" t="inlineStr">
        <is>
          <t>Value Differentiation Day (Field Days)</t>
        </is>
      </c>
      <c r="U5" s="2" t="n">
        <v>90000</v>
      </c>
    </row>
    <row r="6" ht="18" customHeight="1">
      <c r="A6" s="3" t="inlineStr">
        <is>
          <t>4800108505</t>
        </is>
      </c>
      <c r="E6" s="4" t="inlineStr">
        <is>
          <t>PRODUCT</t>
        </is>
      </c>
      <c r="F6" s="5" t="inlineStr">
        <is>
          <t>Deladaxin</t>
        </is>
      </c>
      <c r="I6" s="4" t="inlineStr">
        <is>
          <t>CROP</t>
        </is>
      </c>
      <c r="J6" s="6" t="inlineStr">
        <is>
          <t>Paddy</t>
        </is>
      </c>
      <c r="L6" s="4" t="inlineStr">
        <is>
          <t>DATE</t>
        </is>
      </c>
      <c r="M6" s="5" t="inlineStr">
        <is>
          <t>26-08-2026</t>
        </is>
      </c>
      <c r="T6" s="1" t="inlineStr">
        <is>
          <t>Group Meeting (RGL)</t>
        </is>
      </c>
      <c r="U6" s="2" t="n">
        <v>94000</v>
      </c>
    </row>
    <row r="7" ht="18" customHeight="1">
      <c r="A7" s="5" t="inlineStr">
        <is>
          <t>MA</t>
        </is>
      </c>
      <c r="D7" s="7" t="inlineStr">
        <is>
          <t>K.Subbaramireddy - Nellore</t>
        </is>
      </c>
      <c r="T7" s="1" t="inlineStr">
        <is>
          <t>Group Meeting (Rgular)</t>
        </is>
      </c>
      <c r="U7" s="2" t="n">
        <v>56000</v>
      </c>
    </row>
    <row r="8" ht="16" customHeight="1"/>
    <row r="9" ht="16" customHeight="1"/>
    <row r="10" ht="28" customHeight="1">
      <c r="A10" s="8" t="inlineStr">
        <is>
          <t>I.V NO</t>
        </is>
      </c>
      <c r="B10" s="8" t="inlineStr">
        <is>
          <t>DATE</t>
        </is>
      </c>
      <c r="C10" s="8" t="inlineStr">
        <is>
          <t>AREA</t>
        </is>
      </c>
      <c r="D10" s="8" t="inlineStr">
        <is>
          <t>PO NUMBER</t>
        </is>
      </c>
      <c r="E10" s="8" t="inlineStr">
        <is>
          <t>BUDGET</t>
        </is>
      </c>
      <c r="F10" s="8" t="inlineStr">
        <is>
          <t>PRODUCT</t>
        </is>
      </c>
      <c r="G10" s="8" t="inlineStr">
        <is>
          <t>Crop</t>
        </is>
      </c>
      <c r="H10" s="8" t="inlineStr">
        <is>
          <t>ACTIVITY</t>
        </is>
      </c>
      <c r="I10" s="8" t="inlineStr">
        <is>
          <t>TDGM</t>
        </is>
      </c>
      <c r="J10" s="8" t="inlineStr">
        <is>
          <t>MIE</t>
        </is>
      </c>
      <c r="K10" s="8" t="inlineStr">
        <is>
          <t>NO.OF.Activities</t>
        </is>
      </c>
      <c r="L10" s="8">
        <f>T3</f>
        <v/>
      </c>
      <c r="M10" s="8">
        <f>T4</f>
        <v/>
      </c>
      <c r="N10" s="8">
        <f>T5</f>
        <v/>
      </c>
      <c r="O10" s="8">
        <f>T6</f>
        <v/>
      </c>
      <c r="P10" s="8">
        <f>T7</f>
        <v/>
      </c>
      <c r="Q10" s="8" t="inlineStr">
        <is>
          <t>Amount</t>
        </is>
      </c>
      <c r="T10" s="9" t="inlineStr">
        <is>
          <t>TOTAL</t>
        </is>
      </c>
      <c r="U10" s="10">
        <f>SUM(U3:U7)</f>
        <v/>
      </c>
      <c r="V10" s="5" t="inlineStr">
        <is>
          <t>With GST</t>
        </is>
      </c>
      <c r="X10" s="11">
        <f>U10*18%+U10</f>
        <v/>
      </c>
    </row>
    <row r="11" ht="1" customHeight="1"/>
    <row r="12" ht="16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3" t="n"/>
      <c r="M12" s="13" t="n"/>
      <c r="N12" s="13" t="n"/>
      <c r="O12" s="13" t="n"/>
      <c r="P12" s="13" t="n"/>
      <c r="Q12" s="13">
        <f>L12+M12+N12+O12+P12</f>
        <v/>
      </c>
    </row>
    <row r="13" ht="16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3" t="n"/>
      <c r="M13" s="13" t="n"/>
      <c r="N13" s="13" t="n"/>
      <c r="O13" s="13" t="n"/>
      <c r="P13" s="13" t="n"/>
      <c r="Q13" s="13">
        <f>L13+M13+N13+O13+P13</f>
        <v/>
      </c>
    </row>
    <row r="14" ht="16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3" t="n"/>
      <c r="M14" s="13" t="n"/>
      <c r="N14" s="13" t="n"/>
      <c r="O14" s="13" t="n"/>
      <c r="P14" s="13" t="n"/>
      <c r="Q14" s="13">
        <f>L14+M14+N14+O14+P14</f>
        <v/>
      </c>
    </row>
    <row r="15" ht="16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3" t="n"/>
      <c r="M15" s="13" t="n"/>
      <c r="N15" s="13" t="n"/>
      <c r="O15" s="13" t="n"/>
      <c r="P15" s="13" t="n"/>
      <c r="Q15" s="13">
        <f>L15+M15+N15+O15+P15</f>
        <v/>
      </c>
      <c r="T15" s="14" t="inlineStr">
        <is>
          <t>Activities</t>
        </is>
      </c>
      <c r="U15" s="14" t="inlineStr">
        <is>
          <t>BUDGET</t>
        </is>
      </c>
      <c r="V15" s="14" t="inlineStr">
        <is>
          <t>SPENT</t>
        </is>
      </c>
      <c r="W15" s="14" t="inlineStr">
        <is>
          <t>SV Charges</t>
        </is>
      </c>
      <c r="X15" s="14" t="inlineStr">
        <is>
          <t>TOTAL IV</t>
        </is>
      </c>
      <c r="Y15" s="14" t="inlineStr">
        <is>
          <t>BALANCE</t>
        </is>
      </c>
    </row>
    <row r="16" ht="16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3" t="n"/>
      <c r="M16" s="13" t="n"/>
      <c r="N16" s="13" t="n"/>
      <c r="O16" s="13" t="n"/>
      <c r="P16" s="13" t="n"/>
      <c r="Q16" s="13">
        <f>L16+M16+N16+O16+P16</f>
        <v/>
      </c>
      <c r="T16" s="15">
        <f>T3</f>
        <v/>
      </c>
      <c r="U16" s="16">
        <f>U3</f>
        <v/>
      </c>
      <c r="V16" s="16">
        <f>L29</f>
        <v/>
      </c>
      <c r="W16" s="17">
        <f>V16*5%</f>
        <v/>
      </c>
      <c r="X16" s="17">
        <f>V16+W16</f>
        <v/>
      </c>
      <c r="Y16" s="17">
        <f>U16-X16</f>
        <v/>
      </c>
    </row>
    <row r="17" ht="16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3" t="n"/>
      <c r="M17" s="13" t="n"/>
      <c r="N17" s="13" t="n"/>
      <c r="O17" s="13" t="n"/>
      <c r="P17" s="13" t="n"/>
      <c r="Q17" s="13">
        <f>L17+M17+N17+O17+P17</f>
        <v/>
      </c>
      <c r="T17" s="15">
        <f>T4</f>
        <v/>
      </c>
      <c r="U17" s="16">
        <f>U4</f>
        <v/>
      </c>
      <c r="V17" s="16">
        <f>M29</f>
        <v/>
      </c>
      <c r="W17" s="17">
        <f>V17*5%</f>
        <v/>
      </c>
      <c r="X17" s="17">
        <f>V17+W17</f>
        <v/>
      </c>
      <c r="Y17" s="17">
        <f>U17-X17</f>
        <v/>
      </c>
    </row>
    <row r="18" ht="16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3" t="n"/>
      <c r="M18" s="13" t="n"/>
      <c r="N18" s="13" t="n"/>
      <c r="O18" s="13" t="n"/>
      <c r="P18" s="13" t="n"/>
      <c r="Q18" s="13">
        <f>L18+M18+N18+O18+P18</f>
        <v/>
      </c>
      <c r="T18" s="15">
        <f>T5</f>
        <v/>
      </c>
      <c r="U18" s="16">
        <f>U5</f>
        <v/>
      </c>
      <c r="V18" s="16">
        <f>N29</f>
        <v/>
      </c>
      <c r="W18" s="17">
        <f>V18*5%</f>
        <v/>
      </c>
      <c r="X18" s="17">
        <f>V18+W18</f>
        <v/>
      </c>
      <c r="Y18" s="17">
        <f>U18-X18</f>
        <v/>
      </c>
    </row>
    <row r="19" ht="16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3" t="n"/>
      <c r="M19" s="13" t="n"/>
      <c r="N19" s="13" t="n"/>
      <c r="O19" s="13" t="n"/>
      <c r="P19" s="13" t="n"/>
      <c r="Q19" s="13">
        <f>L19+M19+N19+O19+P19</f>
        <v/>
      </c>
      <c r="T19" s="15">
        <f>T6</f>
        <v/>
      </c>
      <c r="U19" s="16">
        <f>U6</f>
        <v/>
      </c>
      <c r="V19" s="16">
        <f>O29</f>
        <v/>
      </c>
      <c r="W19" s="17">
        <f>V19*5%</f>
        <v/>
      </c>
      <c r="X19" s="17">
        <f>V19+W19</f>
        <v/>
      </c>
      <c r="Y19" s="17">
        <f>U19-X19</f>
        <v/>
      </c>
    </row>
    <row r="20" ht="16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3" t="n"/>
      <c r="M20" s="13" t="n"/>
      <c r="N20" s="13" t="n"/>
      <c r="O20" s="13" t="n"/>
      <c r="P20" s="13" t="n"/>
      <c r="Q20" s="13">
        <f>L20+M20+N20+O20+P20</f>
        <v/>
      </c>
      <c r="T20" s="15">
        <f>T7</f>
        <v/>
      </c>
      <c r="U20" s="16">
        <f>U7</f>
        <v/>
      </c>
      <c r="V20" s="16">
        <f>P29</f>
        <v/>
      </c>
      <c r="W20" s="17">
        <f>V20*5%</f>
        <v/>
      </c>
      <c r="X20" s="17">
        <f>V20+W20</f>
        <v/>
      </c>
      <c r="Y20" s="17">
        <f>U20-X20</f>
        <v/>
      </c>
    </row>
    <row r="21" ht="16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3" t="n"/>
      <c r="M21" s="13" t="n"/>
      <c r="N21" s="13" t="n"/>
      <c r="O21" s="13" t="n"/>
      <c r="P21" s="13" t="n"/>
      <c r="Q21" s="13">
        <f>L21+M21+N21+O21+P21</f>
        <v/>
      </c>
      <c r="T21" s="18" t="inlineStr">
        <is>
          <t>TOTAL</t>
        </is>
      </c>
      <c r="U21" s="10">
        <f>SUM(U16:U20)</f>
        <v/>
      </c>
      <c r="V21" s="10">
        <f>SUM(V16:V20)</f>
        <v/>
      </c>
      <c r="W21" s="10">
        <f>SUM(W16:W20)</f>
        <v/>
      </c>
      <c r="X21" s="10">
        <f>SUM(X16:X20)</f>
        <v/>
      </c>
      <c r="Y21" s="10">
        <f>SUM(Y16:Y20)</f>
        <v/>
      </c>
    </row>
    <row r="22" ht="16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3" t="n"/>
      <c r="M22" s="13" t="n"/>
      <c r="N22" s="13" t="n"/>
      <c r="O22" s="13" t="n"/>
      <c r="P22" s="13" t="n"/>
      <c r="Q22" s="13">
        <f>L22+M22+N22+O22+P22</f>
        <v/>
      </c>
    </row>
    <row r="23" ht="16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3" t="n"/>
      <c r="M23" s="13" t="n"/>
      <c r="N23" s="13" t="n"/>
      <c r="O23" s="13" t="n"/>
      <c r="P23" s="13" t="n"/>
      <c r="Q23" s="13">
        <f>L23+M23+N23+O23+P23</f>
        <v/>
      </c>
    </row>
    <row r="24" ht="1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3" t="n"/>
      <c r="M24" s="13" t="n"/>
      <c r="N24" s="13" t="n"/>
      <c r="O24" s="13" t="n"/>
      <c r="P24" s="13" t="n"/>
      <c r="Q24" s="13">
        <f>L24+M24+N24+O24+P24</f>
        <v/>
      </c>
    </row>
    <row r="25" ht="16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3" t="n"/>
      <c r="M25" s="13" t="n"/>
      <c r="N25" s="13" t="n"/>
      <c r="O25" s="13" t="n"/>
      <c r="P25" s="13" t="n"/>
      <c r="Q25" s="13">
        <f>L25+M25+N25+O25+P25</f>
        <v/>
      </c>
    </row>
    <row r="26" ht="1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3" t="n"/>
      <c r="M26" s="13" t="n"/>
      <c r="N26" s="13" t="n"/>
      <c r="O26" s="13" t="n"/>
      <c r="P26" s="13" t="n"/>
      <c r="Q26" s="13">
        <f>L26+M26+N26+O26+P26</f>
        <v/>
      </c>
    </row>
    <row r="27" ht="16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3" t="n"/>
      <c r="M27" s="13" t="n"/>
      <c r="N27" s="13" t="n"/>
      <c r="O27" s="13" t="n"/>
      <c r="P27" s="13" t="n"/>
      <c r="Q27" s="13">
        <f>L27+M27+N27+O27+P27</f>
        <v/>
      </c>
    </row>
    <row r="28" ht="1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3" t="n"/>
      <c r="M28" s="13" t="n"/>
      <c r="N28" s="13" t="n"/>
      <c r="O28" s="13" t="n"/>
      <c r="P28" s="13" t="n"/>
      <c r="Q28" s="13">
        <f>L28+M28+N28+O28+P28</f>
        <v/>
      </c>
    </row>
    <row r="29" ht="22" customHeigh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20">
        <f>SUM(L12:L28)</f>
        <v/>
      </c>
      <c r="M29" s="20">
        <f>SUM(M12:M28)</f>
        <v/>
      </c>
      <c r="N29" s="20">
        <f>SUM(N12:N28)</f>
        <v/>
      </c>
      <c r="O29" s="20">
        <f>SUM(O12:O28)</f>
        <v/>
      </c>
      <c r="P29" s="20">
        <f>SUM(P12:P28)</f>
        <v/>
      </c>
      <c r="Q29" s="20">
        <f>SUM(Q12:Q28)</f>
        <v/>
      </c>
    </row>
    <row r="30" ht="16" customHeight="1"/>
    <row r="31" ht="16" customHeight="1"/>
  </sheetData>
  <mergeCells count="23">
    <mergeCell ref="P10:P11"/>
    <mergeCell ref="C10:C11"/>
    <mergeCell ref="E10:E11"/>
    <mergeCell ref="A6:B6"/>
    <mergeCell ref="G10:G11"/>
    <mergeCell ref="M10:M11"/>
    <mergeCell ref="D7:F9"/>
    <mergeCell ref="Q10:Q11"/>
    <mergeCell ref="V10:W10"/>
    <mergeCell ref="B10:B11"/>
    <mergeCell ref="L10:L11"/>
    <mergeCell ref="N10:N11"/>
    <mergeCell ref="M6:N6"/>
    <mergeCell ref="A10:A11"/>
    <mergeCell ref="I10:I11"/>
    <mergeCell ref="K10:K11"/>
    <mergeCell ref="O10:O11"/>
    <mergeCell ref="F6:H6"/>
    <mergeCell ref="D10:D11"/>
    <mergeCell ref="A7:C7"/>
    <mergeCell ref="F10:F11"/>
    <mergeCell ref="H10:H11"/>
    <mergeCell ref="J10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Y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3" customWidth="1" min="4" max="4"/>
    <col width="8" customWidth="1" min="5" max="5"/>
    <col width="13" customWidth="1" min="6" max="6"/>
    <col width="9" customWidth="1" min="7" max="7"/>
    <col width="14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  <col width="22" customWidth="1" min="20" max="20"/>
    <col width="13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16" customHeight="1"/>
    <row r="2" ht="16" customHeight="1"/>
    <row r="3" ht="16" customHeight="1">
      <c r="T3" s="1" t="inlineStr">
        <is>
          <t>Value Differentiation Day (Field Days)</t>
        </is>
      </c>
      <c r="U3" s="2" t="n">
        <v>18000</v>
      </c>
    </row>
    <row r="4" ht="16" customHeight="1">
      <c r="T4" s="1" t="inlineStr">
        <is>
          <t>Group Meeting (RGL)</t>
        </is>
      </c>
      <c r="U4" s="2" t="n">
        <v>2000</v>
      </c>
    </row>
    <row r="5" ht="16" customHeight="1"/>
    <row r="6" ht="18" customHeight="1">
      <c r="A6" s="3" t="inlineStr">
        <is>
          <t>4800108505</t>
        </is>
      </c>
      <c r="E6" s="4" t="inlineStr">
        <is>
          <t>PRODUCT</t>
        </is>
      </c>
      <c r="F6" s="5" t="inlineStr">
        <is>
          <t>Hibifen</t>
        </is>
      </c>
      <c r="I6" s="4" t="inlineStr">
        <is>
          <t>CROP</t>
        </is>
      </c>
      <c r="J6" s="6" t="inlineStr">
        <is>
          <t>Paddy</t>
        </is>
      </c>
      <c r="L6" s="4" t="inlineStr">
        <is>
          <t>DATE</t>
        </is>
      </c>
      <c r="M6" s="5" t="inlineStr">
        <is>
          <t>26-08-2026</t>
        </is>
      </c>
    </row>
    <row r="7" ht="18" customHeight="1">
      <c r="A7" s="5" t="inlineStr">
        <is>
          <t>MA</t>
        </is>
      </c>
      <c r="D7" s="7" t="inlineStr">
        <is>
          <t>K.Subbaramireddy - Nellore</t>
        </is>
      </c>
    </row>
    <row r="8" ht="16" customHeight="1"/>
    <row r="9" ht="16" customHeight="1"/>
    <row r="10" ht="28" customHeight="1">
      <c r="A10" s="8" t="inlineStr">
        <is>
          <t>I.V NO</t>
        </is>
      </c>
      <c r="B10" s="8" t="inlineStr">
        <is>
          <t>DATE</t>
        </is>
      </c>
      <c r="C10" s="8" t="inlineStr">
        <is>
          <t>AREA</t>
        </is>
      </c>
      <c r="D10" s="8" t="inlineStr">
        <is>
          <t>PO NUMBER</t>
        </is>
      </c>
      <c r="E10" s="8" t="inlineStr">
        <is>
          <t>BUDGET</t>
        </is>
      </c>
      <c r="F10" s="8" t="inlineStr">
        <is>
          <t>PRODUCT</t>
        </is>
      </c>
      <c r="G10" s="8" t="inlineStr">
        <is>
          <t>Crop</t>
        </is>
      </c>
      <c r="H10" s="8" t="inlineStr">
        <is>
          <t>ACTIVITY</t>
        </is>
      </c>
      <c r="I10" s="8" t="inlineStr">
        <is>
          <t>TDGM</t>
        </is>
      </c>
      <c r="J10" s="8" t="inlineStr">
        <is>
          <t>MIE</t>
        </is>
      </c>
      <c r="K10" s="8" t="inlineStr">
        <is>
          <t>NO.OF.Activities</t>
        </is>
      </c>
      <c r="L10" s="8">
        <f>T3</f>
        <v/>
      </c>
      <c r="M10" s="8">
        <f>T4</f>
        <v/>
      </c>
      <c r="N10" s="8" t="inlineStr">
        <is>
          <t>Amount</t>
        </is>
      </c>
      <c r="T10" s="9" t="inlineStr">
        <is>
          <t>TOTAL</t>
        </is>
      </c>
      <c r="U10" s="10">
        <f>SUM(U3:U4)</f>
        <v/>
      </c>
      <c r="V10" s="5" t="inlineStr">
        <is>
          <t>With GST</t>
        </is>
      </c>
      <c r="X10" s="11">
        <f>U10*18%+U10</f>
        <v/>
      </c>
    </row>
    <row r="11" ht="1" customHeight="1"/>
    <row r="12" ht="16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3" t="n"/>
      <c r="M12" s="13" t="n"/>
      <c r="N12" s="13">
        <f>L12+M12</f>
        <v/>
      </c>
    </row>
    <row r="13" ht="16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3" t="n"/>
      <c r="M13" s="13" t="n"/>
      <c r="N13" s="13">
        <f>L13+M13</f>
        <v/>
      </c>
    </row>
    <row r="14" ht="16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3" t="n"/>
      <c r="M14" s="13" t="n"/>
      <c r="N14" s="13">
        <f>L14+M14</f>
        <v/>
      </c>
    </row>
    <row r="15" ht="16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3" t="n"/>
      <c r="M15" s="13" t="n"/>
      <c r="N15" s="13">
        <f>L15+M15</f>
        <v/>
      </c>
      <c r="T15" s="14" t="inlineStr">
        <is>
          <t>Activities</t>
        </is>
      </c>
      <c r="U15" s="14" t="inlineStr">
        <is>
          <t>BUDGET</t>
        </is>
      </c>
      <c r="V15" s="14" t="inlineStr">
        <is>
          <t>SPENT</t>
        </is>
      </c>
      <c r="W15" s="14" t="inlineStr">
        <is>
          <t>SV Charges</t>
        </is>
      </c>
      <c r="X15" s="14" t="inlineStr">
        <is>
          <t>TOTAL IV</t>
        </is>
      </c>
      <c r="Y15" s="14" t="inlineStr">
        <is>
          <t>BALANCE</t>
        </is>
      </c>
    </row>
    <row r="16" ht="16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3" t="n"/>
      <c r="M16" s="13" t="n"/>
      <c r="N16" s="13">
        <f>L16+M16</f>
        <v/>
      </c>
      <c r="T16" s="15">
        <f>T3</f>
        <v/>
      </c>
      <c r="U16" s="16">
        <f>U3</f>
        <v/>
      </c>
      <c r="V16" s="16">
        <f>L29</f>
        <v/>
      </c>
      <c r="W16" s="17">
        <f>V16*5%</f>
        <v/>
      </c>
      <c r="X16" s="17">
        <f>V16+W16</f>
        <v/>
      </c>
      <c r="Y16" s="17">
        <f>U16-X16</f>
        <v/>
      </c>
    </row>
    <row r="17" ht="16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3" t="n"/>
      <c r="M17" s="13" t="n"/>
      <c r="N17" s="13">
        <f>L17+M17</f>
        <v/>
      </c>
      <c r="T17" s="15">
        <f>T4</f>
        <v/>
      </c>
      <c r="U17" s="16">
        <f>U4</f>
        <v/>
      </c>
      <c r="V17" s="16">
        <f>M29</f>
        <v/>
      </c>
      <c r="W17" s="17">
        <f>V17*5%</f>
        <v/>
      </c>
      <c r="X17" s="17">
        <f>V17+W17</f>
        <v/>
      </c>
      <c r="Y17" s="17">
        <f>U17-X17</f>
        <v/>
      </c>
    </row>
    <row r="18" ht="16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3" t="n"/>
      <c r="M18" s="13" t="n"/>
      <c r="N18" s="13">
        <f>L18+M18</f>
        <v/>
      </c>
      <c r="T18" s="18" t="inlineStr">
        <is>
          <t>TOTAL</t>
        </is>
      </c>
      <c r="U18" s="10">
        <f>SUM(U16:U17)</f>
        <v/>
      </c>
      <c r="V18" s="10">
        <f>SUM(V16:V17)</f>
        <v/>
      </c>
      <c r="W18" s="10">
        <f>SUM(W16:W17)</f>
        <v/>
      </c>
      <c r="X18" s="10">
        <f>SUM(X16:X17)</f>
        <v/>
      </c>
      <c r="Y18" s="10">
        <f>SUM(Y16:Y17)</f>
        <v/>
      </c>
    </row>
    <row r="19" ht="16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3" t="n"/>
      <c r="M19" s="13" t="n"/>
      <c r="N19" s="13">
        <f>L19+M19</f>
        <v/>
      </c>
    </row>
    <row r="20" ht="16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3" t="n"/>
      <c r="M20" s="13" t="n"/>
      <c r="N20" s="13">
        <f>L20+M20</f>
        <v/>
      </c>
    </row>
    <row r="21" ht="16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3" t="n"/>
      <c r="M21" s="13" t="n"/>
      <c r="N21" s="13">
        <f>L21+M21</f>
        <v/>
      </c>
    </row>
    <row r="22" ht="16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3" t="n"/>
      <c r="M22" s="13" t="n"/>
      <c r="N22" s="13">
        <f>L22+M22</f>
        <v/>
      </c>
    </row>
    <row r="23" ht="16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3" t="n"/>
      <c r="M23" s="13" t="n"/>
      <c r="N23" s="13">
        <f>L23+M23</f>
        <v/>
      </c>
    </row>
    <row r="24" ht="1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3" t="n"/>
      <c r="M24" s="13" t="n"/>
      <c r="N24" s="13">
        <f>L24+M24</f>
        <v/>
      </c>
    </row>
    <row r="25" ht="16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3" t="n"/>
      <c r="M25" s="13" t="n"/>
      <c r="N25" s="13">
        <f>L25+M25</f>
        <v/>
      </c>
    </row>
    <row r="26" ht="1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3" t="n"/>
      <c r="M26" s="13" t="n"/>
      <c r="N26" s="13">
        <f>L26+M26</f>
        <v/>
      </c>
    </row>
    <row r="27" ht="16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3" t="n"/>
      <c r="M27" s="13" t="n"/>
      <c r="N27" s="13">
        <f>L27+M27</f>
        <v/>
      </c>
    </row>
    <row r="28" ht="1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3" t="n"/>
      <c r="M28" s="13" t="n"/>
      <c r="N28" s="13">
        <f>L28+M28</f>
        <v/>
      </c>
    </row>
    <row r="29" ht="22" customHeigh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20">
        <f>SUM(L12:L28)</f>
        <v/>
      </c>
      <c r="M29" s="20">
        <f>SUM(M12:M28)</f>
        <v/>
      </c>
      <c r="N29" s="20">
        <f>SUM(N12:N28)</f>
        <v/>
      </c>
    </row>
    <row r="30" ht="16" customHeight="1"/>
    <row r="31" ht="16" customHeight="1"/>
  </sheetData>
  <mergeCells count="20">
    <mergeCell ref="C10:C11"/>
    <mergeCell ref="E10:E11"/>
    <mergeCell ref="A6:B6"/>
    <mergeCell ref="G10:G11"/>
    <mergeCell ref="M10:M11"/>
    <mergeCell ref="D7:F9"/>
    <mergeCell ref="V10:W10"/>
    <mergeCell ref="B10:B11"/>
    <mergeCell ref="L10:L11"/>
    <mergeCell ref="N10:N11"/>
    <mergeCell ref="M6:N6"/>
    <mergeCell ref="A10:A11"/>
    <mergeCell ref="I10:I11"/>
    <mergeCell ref="K10:K11"/>
    <mergeCell ref="F6:H6"/>
    <mergeCell ref="D10:D11"/>
    <mergeCell ref="A7:C7"/>
    <mergeCell ref="F10:F11"/>
    <mergeCell ref="H10:H11"/>
    <mergeCell ref="J10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Y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3" customWidth="1" min="4" max="4"/>
    <col width="8" customWidth="1" min="5" max="5"/>
    <col width="13" customWidth="1" min="6" max="6"/>
    <col width="9" customWidth="1" min="7" max="7"/>
    <col width="14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2" customWidth="1" min="20" max="20"/>
    <col width="13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16" customHeight="1"/>
    <row r="2" ht="16" customHeight="1"/>
    <row r="3" ht="16" customHeight="1">
      <c r="T3" s="1" t="inlineStr">
        <is>
          <t>Value Demo Days (Harvest Days)</t>
        </is>
      </c>
      <c r="U3" s="2" t="n">
        <v>200000</v>
      </c>
    </row>
    <row r="4" ht="16" customHeight="1">
      <c r="T4" s="1" t="inlineStr">
        <is>
          <t>Value Differentiation Day (Field Days)</t>
        </is>
      </c>
      <c r="U4" s="2" t="n">
        <v>186000</v>
      </c>
    </row>
    <row r="5" ht="16" customHeight="1">
      <c r="T5" s="1" t="inlineStr">
        <is>
          <t>Group Meeting (RGL)</t>
        </is>
      </c>
      <c r="U5" s="2" t="n">
        <v>110000</v>
      </c>
    </row>
    <row r="6" ht="18" customHeight="1">
      <c r="A6" s="3" t="inlineStr">
        <is>
          <t>4800108505</t>
        </is>
      </c>
      <c r="E6" s="4" t="inlineStr">
        <is>
          <t>PRODUCT</t>
        </is>
      </c>
      <c r="F6" s="5" t="inlineStr">
        <is>
          <t>Mavilon</t>
        </is>
      </c>
      <c r="I6" s="4" t="inlineStr">
        <is>
          <t>CROP</t>
        </is>
      </c>
      <c r="J6" s="6" t="inlineStr">
        <is>
          <t>Paddy</t>
        </is>
      </c>
      <c r="L6" s="4" t="inlineStr">
        <is>
          <t>DATE</t>
        </is>
      </c>
      <c r="M6" s="5" t="inlineStr">
        <is>
          <t>26-08-2026</t>
        </is>
      </c>
      <c r="T6" s="1" t="inlineStr">
        <is>
          <t>Group Meeting (Rgular)</t>
        </is>
      </c>
      <c r="U6" s="2" t="n">
        <v>2000</v>
      </c>
    </row>
    <row r="7" ht="18" customHeight="1">
      <c r="A7" s="5" t="inlineStr">
        <is>
          <t>MA</t>
        </is>
      </c>
      <c r="D7" s="7" t="inlineStr">
        <is>
          <t>K.Subbaramireddy - Nellore</t>
        </is>
      </c>
    </row>
    <row r="8" ht="16" customHeight="1"/>
    <row r="9" ht="16" customHeight="1"/>
    <row r="10" ht="28" customHeight="1">
      <c r="A10" s="8" t="inlineStr">
        <is>
          <t>I.V NO</t>
        </is>
      </c>
      <c r="B10" s="8" t="inlineStr">
        <is>
          <t>DATE</t>
        </is>
      </c>
      <c r="C10" s="8" t="inlineStr">
        <is>
          <t>AREA</t>
        </is>
      </c>
      <c r="D10" s="8" t="inlineStr">
        <is>
          <t>PO NUMBER</t>
        </is>
      </c>
      <c r="E10" s="8" t="inlineStr">
        <is>
          <t>BUDGET</t>
        </is>
      </c>
      <c r="F10" s="8" t="inlineStr">
        <is>
          <t>PRODUCT</t>
        </is>
      </c>
      <c r="G10" s="8" t="inlineStr">
        <is>
          <t>Crop</t>
        </is>
      </c>
      <c r="H10" s="8" t="inlineStr">
        <is>
          <t>ACTIVITY</t>
        </is>
      </c>
      <c r="I10" s="8" t="inlineStr">
        <is>
          <t>TDGM</t>
        </is>
      </c>
      <c r="J10" s="8" t="inlineStr">
        <is>
          <t>MIE</t>
        </is>
      </c>
      <c r="K10" s="8" t="inlineStr">
        <is>
          <t>NO.OF.Activities</t>
        </is>
      </c>
      <c r="L10" s="8">
        <f>T3</f>
        <v/>
      </c>
      <c r="M10" s="8">
        <f>T4</f>
        <v/>
      </c>
      <c r="N10" s="8">
        <f>T5</f>
        <v/>
      </c>
      <c r="O10" s="8">
        <f>T6</f>
        <v/>
      </c>
      <c r="P10" s="8" t="inlineStr">
        <is>
          <t>Amount</t>
        </is>
      </c>
      <c r="T10" s="9" t="inlineStr">
        <is>
          <t>TOTAL</t>
        </is>
      </c>
      <c r="U10" s="10">
        <f>SUM(U3:U6)</f>
        <v/>
      </c>
      <c r="V10" s="5" t="inlineStr">
        <is>
          <t>With GST</t>
        </is>
      </c>
      <c r="X10" s="11">
        <f>U10*18%+U10</f>
        <v/>
      </c>
    </row>
    <row r="11" ht="1" customHeight="1"/>
    <row r="12" ht="16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3" t="n"/>
      <c r="M12" s="13" t="n"/>
      <c r="N12" s="13" t="n"/>
      <c r="O12" s="13" t="n"/>
      <c r="P12" s="13">
        <f>L12+M12+N12+O12</f>
        <v/>
      </c>
    </row>
    <row r="13" ht="16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3" t="n"/>
      <c r="M13" s="13" t="n"/>
      <c r="N13" s="13" t="n"/>
      <c r="O13" s="13" t="n"/>
      <c r="P13" s="13">
        <f>L13+M13+N13+O13</f>
        <v/>
      </c>
    </row>
    <row r="14" ht="16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3" t="n"/>
      <c r="M14" s="13" t="n"/>
      <c r="N14" s="13" t="n"/>
      <c r="O14" s="13" t="n"/>
      <c r="P14" s="13">
        <f>L14+M14+N14+O14</f>
        <v/>
      </c>
    </row>
    <row r="15" ht="16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3" t="n"/>
      <c r="M15" s="13" t="n"/>
      <c r="N15" s="13" t="n"/>
      <c r="O15" s="13" t="n"/>
      <c r="P15" s="13">
        <f>L15+M15+N15+O15</f>
        <v/>
      </c>
      <c r="T15" s="14" t="inlineStr">
        <is>
          <t>Activities</t>
        </is>
      </c>
      <c r="U15" s="14" t="inlineStr">
        <is>
          <t>BUDGET</t>
        </is>
      </c>
      <c r="V15" s="14" t="inlineStr">
        <is>
          <t>SPENT</t>
        </is>
      </c>
      <c r="W15" s="14" t="inlineStr">
        <is>
          <t>SV Charges</t>
        </is>
      </c>
      <c r="X15" s="14" t="inlineStr">
        <is>
          <t>TOTAL IV</t>
        </is>
      </c>
      <c r="Y15" s="14" t="inlineStr">
        <is>
          <t>BALANCE</t>
        </is>
      </c>
    </row>
    <row r="16" ht="16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3" t="n"/>
      <c r="M16" s="13" t="n"/>
      <c r="N16" s="13" t="n"/>
      <c r="O16" s="13" t="n"/>
      <c r="P16" s="13">
        <f>L16+M16+N16+O16</f>
        <v/>
      </c>
      <c r="T16" s="15">
        <f>T3</f>
        <v/>
      </c>
      <c r="U16" s="16">
        <f>U3</f>
        <v/>
      </c>
      <c r="V16" s="16">
        <f>L29</f>
        <v/>
      </c>
      <c r="W16" s="17">
        <f>V16*5%</f>
        <v/>
      </c>
      <c r="X16" s="17">
        <f>V16+W16</f>
        <v/>
      </c>
      <c r="Y16" s="17">
        <f>U16-X16</f>
        <v/>
      </c>
    </row>
    <row r="17" ht="16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3" t="n"/>
      <c r="M17" s="13" t="n"/>
      <c r="N17" s="13" t="n"/>
      <c r="O17" s="13" t="n"/>
      <c r="P17" s="13">
        <f>L17+M17+N17+O17</f>
        <v/>
      </c>
      <c r="T17" s="15">
        <f>T4</f>
        <v/>
      </c>
      <c r="U17" s="16">
        <f>U4</f>
        <v/>
      </c>
      <c r="V17" s="16">
        <f>M29</f>
        <v/>
      </c>
      <c r="W17" s="17">
        <f>V17*5%</f>
        <v/>
      </c>
      <c r="X17" s="17">
        <f>V17+W17</f>
        <v/>
      </c>
      <c r="Y17" s="17">
        <f>U17-X17</f>
        <v/>
      </c>
    </row>
    <row r="18" ht="16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3" t="n"/>
      <c r="M18" s="13" t="n"/>
      <c r="N18" s="13" t="n"/>
      <c r="O18" s="13" t="n"/>
      <c r="P18" s="13">
        <f>L18+M18+N18+O18</f>
        <v/>
      </c>
      <c r="T18" s="15">
        <f>T5</f>
        <v/>
      </c>
      <c r="U18" s="16">
        <f>U5</f>
        <v/>
      </c>
      <c r="V18" s="16">
        <f>N29</f>
        <v/>
      </c>
      <c r="W18" s="17">
        <f>V18*5%</f>
        <v/>
      </c>
      <c r="X18" s="17">
        <f>V18+W18</f>
        <v/>
      </c>
      <c r="Y18" s="17">
        <f>U18-X18</f>
        <v/>
      </c>
    </row>
    <row r="19" ht="16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3" t="n"/>
      <c r="M19" s="13" t="n"/>
      <c r="N19" s="13" t="n"/>
      <c r="O19" s="13" t="n"/>
      <c r="P19" s="13">
        <f>L19+M19+N19+O19</f>
        <v/>
      </c>
      <c r="T19" s="15">
        <f>T6</f>
        <v/>
      </c>
      <c r="U19" s="16">
        <f>U6</f>
        <v/>
      </c>
      <c r="V19" s="16">
        <f>O29</f>
        <v/>
      </c>
      <c r="W19" s="17">
        <f>V19*5%</f>
        <v/>
      </c>
      <c r="X19" s="17">
        <f>V19+W19</f>
        <v/>
      </c>
      <c r="Y19" s="17">
        <f>U19-X19</f>
        <v/>
      </c>
    </row>
    <row r="20" ht="16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3" t="n"/>
      <c r="M20" s="13" t="n"/>
      <c r="N20" s="13" t="n"/>
      <c r="O20" s="13" t="n"/>
      <c r="P20" s="13">
        <f>L20+M20+N20+O20</f>
        <v/>
      </c>
      <c r="T20" s="18" t="inlineStr">
        <is>
          <t>TOTAL</t>
        </is>
      </c>
      <c r="U20" s="10">
        <f>SUM(U16:U19)</f>
        <v/>
      </c>
      <c r="V20" s="10">
        <f>SUM(V16:V19)</f>
        <v/>
      </c>
      <c r="W20" s="10">
        <f>SUM(W16:W19)</f>
        <v/>
      </c>
      <c r="X20" s="10">
        <f>SUM(X16:X19)</f>
        <v/>
      </c>
      <c r="Y20" s="10">
        <f>SUM(Y16:Y19)</f>
        <v/>
      </c>
    </row>
    <row r="21" ht="16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3" t="n"/>
      <c r="M21" s="13" t="n"/>
      <c r="N21" s="13" t="n"/>
      <c r="O21" s="13" t="n"/>
      <c r="P21" s="13">
        <f>L21+M21+N21+O21</f>
        <v/>
      </c>
    </row>
    <row r="22" ht="16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3" t="n"/>
      <c r="M22" s="13" t="n"/>
      <c r="N22" s="13" t="n"/>
      <c r="O22" s="13" t="n"/>
      <c r="P22" s="13">
        <f>L22+M22+N22+O22</f>
        <v/>
      </c>
    </row>
    <row r="23" ht="16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3" t="n"/>
      <c r="M23" s="13" t="n"/>
      <c r="N23" s="13" t="n"/>
      <c r="O23" s="13" t="n"/>
      <c r="P23" s="13">
        <f>L23+M23+N23+O23</f>
        <v/>
      </c>
    </row>
    <row r="24" ht="1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3" t="n"/>
      <c r="M24" s="13" t="n"/>
      <c r="N24" s="13" t="n"/>
      <c r="O24" s="13" t="n"/>
      <c r="P24" s="13">
        <f>L24+M24+N24+O24</f>
        <v/>
      </c>
    </row>
    <row r="25" ht="16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3" t="n"/>
      <c r="M25" s="13" t="n"/>
      <c r="N25" s="13" t="n"/>
      <c r="O25" s="13" t="n"/>
      <c r="P25" s="13">
        <f>L25+M25+N25+O25</f>
        <v/>
      </c>
    </row>
    <row r="26" ht="1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3" t="n"/>
      <c r="M26" s="13" t="n"/>
      <c r="N26" s="13" t="n"/>
      <c r="O26" s="13" t="n"/>
      <c r="P26" s="13">
        <f>L26+M26+N26+O26</f>
        <v/>
      </c>
    </row>
    <row r="27" ht="16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3" t="n"/>
      <c r="M27" s="13" t="n"/>
      <c r="N27" s="13" t="n"/>
      <c r="O27" s="13" t="n"/>
      <c r="P27" s="13">
        <f>L27+M27+N27+O27</f>
        <v/>
      </c>
    </row>
    <row r="28" ht="1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3" t="n"/>
      <c r="M28" s="13" t="n"/>
      <c r="N28" s="13" t="n"/>
      <c r="O28" s="13" t="n"/>
      <c r="P28" s="13">
        <f>L28+M28+N28+O28</f>
        <v/>
      </c>
    </row>
    <row r="29" ht="22" customHeigh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20">
        <f>SUM(L12:L28)</f>
        <v/>
      </c>
      <c r="M29" s="20">
        <f>SUM(M12:M28)</f>
        <v/>
      </c>
      <c r="N29" s="20">
        <f>SUM(N12:N28)</f>
        <v/>
      </c>
      <c r="O29" s="20">
        <f>SUM(O12:O28)</f>
        <v/>
      </c>
      <c r="P29" s="20">
        <f>SUM(P12:P28)</f>
        <v/>
      </c>
    </row>
    <row r="30" ht="16" customHeight="1"/>
    <row r="31" ht="16" customHeight="1"/>
  </sheetData>
  <mergeCells count="22">
    <mergeCell ref="P10:P11"/>
    <mergeCell ref="C10:C11"/>
    <mergeCell ref="E10:E11"/>
    <mergeCell ref="A6:B6"/>
    <mergeCell ref="G10:G11"/>
    <mergeCell ref="M10:M11"/>
    <mergeCell ref="D7:F9"/>
    <mergeCell ref="V10:W10"/>
    <mergeCell ref="B10:B11"/>
    <mergeCell ref="L10:L11"/>
    <mergeCell ref="N10:N11"/>
    <mergeCell ref="M6:N6"/>
    <mergeCell ref="A10:A11"/>
    <mergeCell ref="I10:I11"/>
    <mergeCell ref="K10:K11"/>
    <mergeCell ref="O10:O11"/>
    <mergeCell ref="F6:H6"/>
    <mergeCell ref="D10:D11"/>
    <mergeCell ref="A7:C7"/>
    <mergeCell ref="F10:F11"/>
    <mergeCell ref="H10:H11"/>
    <mergeCell ref="J10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Y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3" customWidth="1" min="4" max="4"/>
    <col width="8" customWidth="1" min="5" max="5"/>
    <col width="13" customWidth="1" min="6" max="6"/>
    <col width="9" customWidth="1" min="7" max="7"/>
    <col width="14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22" customWidth="1" min="20" max="20"/>
    <col width="13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16" customHeight="1"/>
    <row r="2" ht="16" customHeight="1"/>
    <row r="3" ht="16" customHeight="1">
      <c r="T3" s="1" t="inlineStr">
        <is>
          <t>Mega Farmer Meeting / New Product  lauches(RGL)</t>
        </is>
      </c>
      <c r="U3" s="2" t="n">
        <v>120000</v>
      </c>
    </row>
    <row r="4" ht="16" customHeight="1">
      <c r="T4" s="1" t="inlineStr">
        <is>
          <t>Large Farmer Meeting (RGL)</t>
        </is>
      </c>
      <c r="U4" s="2" t="n">
        <v>72000</v>
      </c>
    </row>
    <row r="5" ht="16" customHeight="1">
      <c r="T5" s="1" t="inlineStr">
        <is>
          <t>Value Differentiation Day (Field Days)</t>
        </is>
      </c>
      <c r="U5" s="2" t="n">
        <v>24000</v>
      </c>
    </row>
    <row r="6" ht="18" customHeight="1">
      <c r="A6" s="3" t="inlineStr">
        <is>
          <t>4800108505</t>
        </is>
      </c>
      <c r="E6" s="4" t="inlineStr">
        <is>
          <t>PRODUCT</t>
        </is>
      </c>
      <c r="F6" s="5" t="inlineStr">
        <is>
          <t>Pexalon</t>
        </is>
      </c>
      <c r="I6" s="4" t="inlineStr">
        <is>
          <t>CROP</t>
        </is>
      </c>
      <c r="J6" s="6" t="inlineStr">
        <is>
          <t>Paddy</t>
        </is>
      </c>
      <c r="L6" s="4" t="inlineStr">
        <is>
          <t>DATE</t>
        </is>
      </c>
      <c r="M6" s="5" t="inlineStr">
        <is>
          <t>26-08-2026</t>
        </is>
      </c>
      <c r="T6" s="1" t="inlineStr">
        <is>
          <t>Group Meeting (RGL)</t>
        </is>
      </c>
      <c r="U6" s="2" t="n">
        <v>76000</v>
      </c>
    </row>
    <row r="7" ht="18" customHeight="1">
      <c r="A7" s="5" t="inlineStr">
        <is>
          <t>MA</t>
        </is>
      </c>
      <c r="D7" s="7" t="inlineStr">
        <is>
          <t>K.Subbaramireddy - Nellore</t>
        </is>
      </c>
      <c r="T7" s="1" t="inlineStr">
        <is>
          <t>Group Meeting (Rgular)</t>
        </is>
      </c>
      <c r="U7" s="2" t="n">
        <v>28000</v>
      </c>
    </row>
    <row r="8" ht="16" customHeight="1">
      <c r="T8" s="1" t="inlineStr">
        <is>
          <t>BVC</t>
        </is>
      </c>
      <c r="U8" s="2" t="n">
        <v>210000</v>
      </c>
    </row>
    <row r="9" ht="16" customHeight="1"/>
    <row r="10" ht="28" customHeight="1">
      <c r="A10" s="8" t="inlineStr">
        <is>
          <t>I.V NO</t>
        </is>
      </c>
      <c r="B10" s="8" t="inlineStr">
        <is>
          <t>DATE</t>
        </is>
      </c>
      <c r="C10" s="8" t="inlineStr">
        <is>
          <t>AREA</t>
        </is>
      </c>
      <c r="D10" s="8" t="inlineStr">
        <is>
          <t>PO NUMBER</t>
        </is>
      </c>
      <c r="E10" s="8" t="inlineStr">
        <is>
          <t>BUDGET</t>
        </is>
      </c>
      <c r="F10" s="8" t="inlineStr">
        <is>
          <t>PRODUCT</t>
        </is>
      </c>
      <c r="G10" s="8" t="inlineStr">
        <is>
          <t>Crop</t>
        </is>
      </c>
      <c r="H10" s="8" t="inlineStr">
        <is>
          <t>ACTIVITY</t>
        </is>
      </c>
      <c r="I10" s="8" t="inlineStr">
        <is>
          <t>TDGM</t>
        </is>
      </c>
      <c r="J10" s="8" t="inlineStr">
        <is>
          <t>MIE</t>
        </is>
      </c>
      <c r="K10" s="8" t="inlineStr">
        <is>
          <t>NO.OF.Activities</t>
        </is>
      </c>
      <c r="L10" s="8">
        <f>T3</f>
        <v/>
      </c>
      <c r="M10" s="8">
        <f>T4</f>
        <v/>
      </c>
      <c r="N10" s="8">
        <f>T5</f>
        <v/>
      </c>
      <c r="O10" s="8">
        <f>T6</f>
        <v/>
      </c>
      <c r="P10" s="8">
        <f>T7</f>
        <v/>
      </c>
      <c r="Q10" s="8">
        <f>T8</f>
        <v/>
      </c>
      <c r="R10" s="8" t="inlineStr">
        <is>
          <t>Amount</t>
        </is>
      </c>
      <c r="T10" s="9" t="inlineStr">
        <is>
          <t>TOTAL</t>
        </is>
      </c>
      <c r="U10" s="10">
        <f>SUM(U3:U8)</f>
        <v/>
      </c>
      <c r="V10" s="5" t="inlineStr">
        <is>
          <t>With GST</t>
        </is>
      </c>
      <c r="X10" s="11">
        <f>U10*18%+U10</f>
        <v/>
      </c>
    </row>
    <row r="11" ht="1" customHeight="1"/>
    <row r="12" ht="16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3" t="n"/>
      <c r="M12" s="13" t="n"/>
      <c r="N12" s="13" t="n"/>
      <c r="O12" s="13" t="n"/>
      <c r="P12" s="13" t="n"/>
      <c r="Q12" s="13" t="n"/>
      <c r="R12" s="13">
        <f>L12+M12+N12+O12+P12+Q12</f>
        <v/>
      </c>
    </row>
    <row r="13" ht="16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3" t="n"/>
      <c r="M13" s="13" t="n"/>
      <c r="N13" s="13" t="n"/>
      <c r="O13" s="13" t="n"/>
      <c r="P13" s="13" t="n"/>
      <c r="Q13" s="13" t="n"/>
      <c r="R13" s="13">
        <f>L13+M13+N13+O13+P13+Q13</f>
        <v/>
      </c>
    </row>
    <row r="14" ht="16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3" t="n"/>
      <c r="M14" s="13" t="n"/>
      <c r="N14" s="13" t="n"/>
      <c r="O14" s="13" t="n"/>
      <c r="P14" s="13" t="n"/>
      <c r="Q14" s="13" t="n"/>
      <c r="R14" s="13">
        <f>L14+M14+N14+O14+P14+Q14</f>
        <v/>
      </c>
    </row>
    <row r="15" ht="16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3" t="n"/>
      <c r="M15" s="13" t="n"/>
      <c r="N15" s="13" t="n"/>
      <c r="O15" s="13" t="n"/>
      <c r="P15" s="13" t="n"/>
      <c r="Q15" s="13" t="n"/>
      <c r="R15" s="13">
        <f>L15+M15+N15+O15+P15+Q15</f>
        <v/>
      </c>
      <c r="T15" s="14" t="inlineStr">
        <is>
          <t>Activities</t>
        </is>
      </c>
      <c r="U15" s="14" t="inlineStr">
        <is>
          <t>BUDGET</t>
        </is>
      </c>
      <c r="V15" s="14" t="inlineStr">
        <is>
          <t>SPENT</t>
        </is>
      </c>
      <c r="W15" s="14" t="inlineStr">
        <is>
          <t>SV Charges</t>
        </is>
      </c>
      <c r="X15" s="14" t="inlineStr">
        <is>
          <t>TOTAL IV</t>
        </is>
      </c>
      <c r="Y15" s="14" t="inlineStr">
        <is>
          <t>BALANCE</t>
        </is>
      </c>
    </row>
    <row r="16" ht="16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3" t="n"/>
      <c r="M16" s="13" t="n"/>
      <c r="N16" s="13" t="n"/>
      <c r="O16" s="13" t="n"/>
      <c r="P16" s="13" t="n"/>
      <c r="Q16" s="13" t="n"/>
      <c r="R16" s="13">
        <f>L16+M16+N16+O16+P16+Q16</f>
        <v/>
      </c>
      <c r="T16" s="15">
        <f>T3</f>
        <v/>
      </c>
      <c r="U16" s="16">
        <f>U3</f>
        <v/>
      </c>
      <c r="V16" s="16">
        <f>L29</f>
        <v/>
      </c>
      <c r="W16" s="17">
        <f>V16*5%</f>
        <v/>
      </c>
      <c r="X16" s="17">
        <f>V16+W16</f>
        <v/>
      </c>
      <c r="Y16" s="17">
        <f>U16-X16</f>
        <v/>
      </c>
    </row>
    <row r="17" ht="16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3" t="n"/>
      <c r="M17" s="13" t="n"/>
      <c r="N17" s="13" t="n"/>
      <c r="O17" s="13" t="n"/>
      <c r="P17" s="13" t="n"/>
      <c r="Q17" s="13" t="n"/>
      <c r="R17" s="13">
        <f>L17+M17+N17+O17+P17+Q17</f>
        <v/>
      </c>
      <c r="T17" s="15">
        <f>T4</f>
        <v/>
      </c>
      <c r="U17" s="16">
        <f>U4</f>
        <v/>
      </c>
      <c r="V17" s="16">
        <f>M29</f>
        <v/>
      </c>
      <c r="W17" s="17">
        <f>V17*5%</f>
        <v/>
      </c>
      <c r="X17" s="17">
        <f>V17+W17</f>
        <v/>
      </c>
      <c r="Y17" s="17">
        <f>U17-X17</f>
        <v/>
      </c>
    </row>
    <row r="18" ht="16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3" t="n"/>
      <c r="M18" s="13" t="n"/>
      <c r="N18" s="13" t="n"/>
      <c r="O18" s="13" t="n"/>
      <c r="P18" s="13" t="n"/>
      <c r="Q18" s="13" t="n"/>
      <c r="R18" s="13">
        <f>L18+M18+N18+O18+P18+Q18</f>
        <v/>
      </c>
      <c r="T18" s="15">
        <f>T5</f>
        <v/>
      </c>
      <c r="U18" s="16">
        <f>U5</f>
        <v/>
      </c>
      <c r="V18" s="16">
        <f>N29</f>
        <v/>
      </c>
      <c r="W18" s="17">
        <f>V18*5%</f>
        <v/>
      </c>
      <c r="X18" s="17">
        <f>V18+W18</f>
        <v/>
      </c>
      <c r="Y18" s="17">
        <f>U18-X18</f>
        <v/>
      </c>
    </row>
    <row r="19" ht="16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3" t="n"/>
      <c r="M19" s="13" t="n"/>
      <c r="N19" s="13" t="n"/>
      <c r="O19" s="13" t="n"/>
      <c r="P19" s="13" t="n"/>
      <c r="Q19" s="13" t="n"/>
      <c r="R19" s="13">
        <f>L19+M19+N19+O19+P19+Q19</f>
        <v/>
      </c>
      <c r="T19" s="15">
        <f>T6</f>
        <v/>
      </c>
      <c r="U19" s="16">
        <f>U6</f>
        <v/>
      </c>
      <c r="V19" s="16">
        <f>O29</f>
        <v/>
      </c>
      <c r="W19" s="17">
        <f>V19*5%</f>
        <v/>
      </c>
      <c r="X19" s="17">
        <f>V19+W19</f>
        <v/>
      </c>
      <c r="Y19" s="17">
        <f>U19-X19</f>
        <v/>
      </c>
    </row>
    <row r="20" ht="16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3" t="n"/>
      <c r="M20" s="13" t="n"/>
      <c r="N20" s="13" t="n"/>
      <c r="O20" s="13" t="n"/>
      <c r="P20" s="13" t="n"/>
      <c r="Q20" s="13" t="n"/>
      <c r="R20" s="13">
        <f>L20+M20+N20+O20+P20+Q20</f>
        <v/>
      </c>
      <c r="T20" s="15">
        <f>T7</f>
        <v/>
      </c>
      <c r="U20" s="16">
        <f>U7</f>
        <v/>
      </c>
      <c r="V20" s="16">
        <f>P29</f>
        <v/>
      </c>
      <c r="W20" s="17">
        <f>V20*5%</f>
        <v/>
      </c>
      <c r="X20" s="17">
        <f>V20+W20</f>
        <v/>
      </c>
      <c r="Y20" s="17">
        <f>U20-X20</f>
        <v/>
      </c>
    </row>
    <row r="21" ht="16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3" t="n"/>
      <c r="M21" s="13" t="n"/>
      <c r="N21" s="13" t="n"/>
      <c r="O21" s="13" t="n"/>
      <c r="P21" s="13" t="n"/>
      <c r="Q21" s="13" t="n"/>
      <c r="R21" s="13">
        <f>L21+M21+N21+O21+P21+Q21</f>
        <v/>
      </c>
      <c r="T21" s="15">
        <f>T8</f>
        <v/>
      </c>
      <c r="U21" s="16">
        <f>U8</f>
        <v/>
      </c>
      <c r="V21" s="16">
        <f>Q29</f>
        <v/>
      </c>
      <c r="W21" s="17">
        <f>V21*5%</f>
        <v/>
      </c>
      <c r="X21" s="17">
        <f>V21+W21</f>
        <v/>
      </c>
      <c r="Y21" s="17">
        <f>U21-X21</f>
        <v/>
      </c>
    </row>
    <row r="22" ht="16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3" t="n"/>
      <c r="M22" s="13" t="n"/>
      <c r="N22" s="13" t="n"/>
      <c r="O22" s="13" t="n"/>
      <c r="P22" s="13" t="n"/>
      <c r="Q22" s="13" t="n"/>
      <c r="R22" s="13">
        <f>L22+M22+N22+O22+P22+Q22</f>
        <v/>
      </c>
      <c r="T22" s="18" t="inlineStr">
        <is>
          <t>TOTAL</t>
        </is>
      </c>
      <c r="U22" s="10">
        <f>SUM(U16:U21)</f>
        <v/>
      </c>
      <c r="V22" s="10">
        <f>SUM(V16:V21)</f>
        <v/>
      </c>
      <c r="W22" s="10">
        <f>SUM(W16:W21)</f>
        <v/>
      </c>
      <c r="X22" s="10">
        <f>SUM(X16:X21)</f>
        <v/>
      </c>
      <c r="Y22" s="10">
        <f>SUM(Y16:Y21)</f>
        <v/>
      </c>
    </row>
    <row r="23" ht="16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3" t="n"/>
      <c r="M23" s="13" t="n"/>
      <c r="N23" s="13" t="n"/>
      <c r="O23" s="13" t="n"/>
      <c r="P23" s="13" t="n"/>
      <c r="Q23" s="13" t="n"/>
      <c r="R23" s="13">
        <f>L23+M23+N23+O23+P23+Q23</f>
        <v/>
      </c>
    </row>
    <row r="24" ht="1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3" t="n"/>
      <c r="M24" s="13" t="n"/>
      <c r="N24" s="13" t="n"/>
      <c r="O24" s="13" t="n"/>
      <c r="P24" s="13" t="n"/>
      <c r="Q24" s="13" t="n"/>
      <c r="R24" s="13">
        <f>L24+M24+N24+O24+P24+Q24</f>
        <v/>
      </c>
    </row>
    <row r="25" ht="16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3" t="n"/>
      <c r="M25" s="13" t="n"/>
      <c r="N25" s="13" t="n"/>
      <c r="O25" s="13" t="n"/>
      <c r="P25" s="13" t="n"/>
      <c r="Q25" s="13" t="n"/>
      <c r="R25" s="13">
        <f>L25+M25+N25+O25+P25+Q25</f>
        <v/>
      </c>
    </row>
    <row r="26" ht="1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3" t="n"/>
      <c r="M26" s="13" t="n"/>
      <c r="N26" s="13" t="n"/>
      <c r="O26" s="13" t="n"/>
      <c r="P26" s="13" t="n"/>
      <c r="Q26" s="13" t="n"/>
      <c r="R26" s="13">
        <f>L26+M26+N26+O26+P26+Q26</f>
        <v/>
      </c>
    </row>
    <row r="27" ht="16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3" t="n"/>
      <c r="M27" s="13" t="n"/>
      <c r="N27" s="13" t="n"/>
      <c r="O27" s="13" t="n"/>
      <c r="P27" s="13" t="n"/>
      <c r="Q27" s="13" t="n"/>
      <c r="R27" s="13">
        <f>L27+M27+N27+O27+P27+Q27</f>
        <v/>
      </c>
    </row>
    <row r="28" ht="1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3" t="n"/>
      <c r="M28" s="13" t="n"/>
      <c r="N28" s="13" t="n"/>
      <c r="O28" s="13" t="n"/>
      <c r="P28" s="13" t="n"/>
      <c r="Q28" s="13" t="n"/>
      <c r="R28" s="13">
        <f>L28+M28+N28+O28+P28+Q28</f>
        <v/>
      </c>
    </row>
    <row r="29" ht="22" customHeigh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20">
        <f>SUM(L12:L28)</f>
        <v/>
      </c>
      <c r="M29" s="20">
        <f>SUM(M12:M28)</f>
        <v/>
      </c>
      <c r="N29" s="20">
        <f>SUM(N12:N28)</f>
        <v/>
      </c>
      <c r="O29" s="20">
        <f>SUM(O12:O28)</f>
        <v/>
      </c>
      <c r="P29" s="20">
        <f>SUM(P12:P28)</f>
        <v/>
      </c>
      <c r="Q29" s="20">
        <f>SUM(Q12:Q28)</f>
        <v/>
      </c>
      <c r="R29" s="20">
        <f>SUM(R12:R28)</f>
        <v/>
      </c>
    </row>
    <row r="30" ht="16" customHeight="1"/>
    <row r="31" ht="16" customHeight="1"/>
  </sheetData>
  <mergeCells count="24">
    <mergeCell ref="P10:P11"/>
    <mergeCell ref="C10:C11"/>
    <mergeCell ref="E10:E11"/>
    <mergeCell ref="A6:B6"/>
    <mergeCell ref="G10:G11"/>
    <mergeCell ref="M10:M11"/>
    <mergeCell ref="D7:F9"/>
    <mergeCell ref="Q10:Q11"/>
    <mergeCell ref="V10:W10"/>
    <mergeCell ref="B10:B11"/>
    <mergeCell ref="L10:L11"/>
    <mergeCell ref="N10:N11"/>
    <mergeCell ref="M6:N6"/>
    <mergeCell ref="A10:A11"/>
    <mergeCell ref="I10:I11"/>
    <mergeCell ref="K10:K11"/>
    <mergeCell ref="O10:O11"/>
    <mergeCell ref="F6:H6"/>
    <mergeCell ref="D10:D11"/>
    <mergeCell ref="R10:R11"/>
    <mergeCell ref="A7:C7"/>
    <mergeCell ref="F10:F11"/>
    <mergeCell ref="H10:H11"/>
    <mergeCell ref="J10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2026-08-26T11:20:04Z</dcterms:created>
  <dcterms:modified xsi:type="dcterms:W3CDTF">2026-08-26T11:20:04Z</dcterms:modified>
</cp:coreProperties>
</file>