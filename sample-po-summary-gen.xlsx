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RI BALAJI TRADERS\Corteva POs\Corteva 2026-2027\Nellore 2026-2027\Nellore Pos Summery\"/>
    </mc:Choice>
  </mc:AlternateContent>
  <xr:revisionPtr revIDLastSave="0" documentId="13_ncr:1_{0BA7D097-A727-4ADA-AC85-1FE2D2038A5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erb (MA)" sheetId="1" r:id="rId1"/>
    <sheet name="Fungi (MA)" sheetId="2" r:id="rId2"/>
    <sheet name="Pyraxalt (MA)" sheetId="3" r:id="rId3"/>
    <sheet name="Biologicals(MA)" sheetId="4" r:id="rId4"/>
    <sheet name="Herbi (MKTG)" sheetId="6" r:id="rId5"/>
    <sheet name="Spinosyn,Eng (MA)" sheetId="5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1" i="2" l="1"/>
  <c r="T21" i="2"/>
  <c r="Q10" i="2"/>
  <c r="W20" i="5"/>
  <c r="R29" i="6" l="1"/>
  <c r="Q29" i="6"/>
  <c r="V21" i="6" s="1"/>
  <c r="P29" i="6"/>
  <c r="O29" i="6"/>
  <c r="V19" i="6" s="1"/>
  <c r="N29" i="6"/>
  <c r="V18" i="6" s="1"/>
  <c r="W18" i="6" s="1"/>
  <c r="X18" i="6" s="1"/>
  <c r="M29" i="6"/>
  <c r="V17" i="6" s="1"/>
  <c r="W17" i="6" s="1"/>
  <c r="L29" i="6"/>
  <c r="V16" i="6" s="1"/>
  <c r="S27" i="6"/>
  <c r="S26" i="6"/>
  <c r="S25" i="6"/>
  <c r="S24" i="6"/>
  <c r="S23" i="6"/>
  <c r="S22" i="6"/>
  <c r="U21" i="6"/>
  <c r="T21" i="6"/>
  <c r="S21" i="6"/>
  <c r="V20" i="6"/>
  <c r="X20" i="6" s="1"/>
  <c r="U20" i="6"/>
  <c r="T20" i="6"/>
  <c r="S20" i="6"/>
  <c r="U19" i="6"/>
  <c r="T19" i="6"/>
  <c r="S19" i="6"/>
  <c r="U18" i="6"/>
  <c r="T18" i="6"/>
  <c r="S18" i="6"/>
  <c r="U17" i="6"/>
  <c r="T17" i="6"/>
  <c r="S17" i="6"/>
  <c r="U16" i="6"/>
  <c r="T16" i="6"/>
  <c r="S16" i="6"/>
  <c r="S15" i="6"/>
  <c r="S14" i="6"/>
  <c r="S13" i="6"/>
  <c r="S12" i="6"/>
  <c r="U10" i="6"/>
  <c r="X10" i="6" s="1"/>
  <c r="Q10" i="6"/>
  <c r="P10" i="6"/>
  <c r="O10" i="6"/>
  <c r="N10" i="6"/>
  <c r="M10" i="6"/>
  <c r="L10" i="6"/>
  <c r="R29" i="5"/>
  <c r="Q29" i="5"/>
  <c r="V21" i="5" s="1"/>
  <c r="P29" i="5"/>
  <c r="O29" i="5"/>
  <c r="V19" i="5" s="1"/>
  <c r="N29" i="5"/>
  <c r="V18" i="5" s="1"/>
  <c r="M29" i="5"/>
  <c r="V17" i="5" s="1"/>
  <c r="L29" i="5"/>
  <c r="V16" i="5" s="1"/>
  <c r="S27" i="5"/>
  <c r="S26" i="5"/>
  <c r="S25" i="5"/>
  <c r="S24" i="5"/>
  <c r="S23" i="5"/>
  <c r="S22" i="5"/>
  <c r="U21" i="5"/>
  <c r="T21" i="5"/>
  <c r="S21" i="5"/>
  <c r="V20" i="5"/>
  <c r="X20" i="5" s="1"/>
  <c r="U20" i="5"/>
  <c r="T20" i="5"/>
  <c r="S20" i="5"/>
  <c r="U19" i="5"/>
  <c r="T19" i="5"/>
  <c r="S19" i="5"/>
  <c r="U18" i="5"/>
  <c r="T18" i="5"/>
  <c r="S18" i="5"/>
  <c r="U17" i="5"/>
  <c r="T17" i="5"/>
  <c r="S17" i="5"/>
  <c r="U16" i="5"/>
  <c r="T16" i="5"/>
  <c r="S16" i="5"/>
  <c r="S15" i="5"/>
  <c r="S14" i="5"/>
  <c r="S13" i="5"/>
  <c r="S12" i="5"/>
  <c r="U10" i="5"/>
  <c r="X10" i="5" s="1"/>
  <c r="Q10" i="5"/>
  <c r="P10" i="5"/>
  <c r="O10" i="5"/>
  <c r="N10" i="5"/>
  <c r="M10" i="5"/>
  <c r="L10" i="5"/>
  <c r="R29" i="4"/>
  <c r="Q29" i="4"/>
  <c r="P29" i="4"/>
  <c r="O29" i="4"/>
  <c r="N29" i="4"/>
  <c r="V18" i="4" s="1"/>
  <c r="M29" i="4"/>
  <c r="L29" i="4"/>
  <c r="V16" i="4" s="1"/>
  <c r="S27" i="4"/>
  <c r="S26" i="4"/>
  <c r="S25" i="4"/>
  <c r="S24" i="4"/>
  <c r="S23" i="4"/>
  <c r="S22" i="4"/>
  <c r="W21" i="4"/>
  <c r="V21" i="4"/>
  <c r="X21" i="4" s="1"/>
  <c r="U21" i="4"/>
  <c r="Y21" i="4" s="1"/>
  <c r="T21" i="4"/>
  <c r="S21" i="4"/>
  <c r="V20" i="4"/>
  <c r="X20" i="4" s="1"/>
  <c r="U20" i="4"/>
  <c r="T20" i="4"/>
  <c r="S20" i="4"/>
  <c r="V19" i="4"/>
  <c r="U19" i="4"/>
  <c r="T19" i="4"/>
  <c r="S19" i="4"/>
  <c r="U18" i="4"/>
  <c r="T18" i="4"/>
  <c r="S18" i="4"/>
  <c r="V17" i="4"/>
  <c r="U17" i="4"/>
  <c r="T17" i="4"/>
  <c r="S17" i="4"/>
  <c r="U16" i="4"/>
  <c r="T16" i="4"/>
  <c r="S16" i="4"/>
  <c r="S15" i="4"/>
  <c r="S14" i="4"/>
  <c r="S13" i="4"/>
  <c r="S12" i="4"/>
  <c r="S29" i="4" s="1"/>
  <c r="U10" i="4"/>
  <c r="X10" i="4" s="1"/>
  <c r="Q10" i="4"/>
  <c r="P10" i="4"/>
  <c r="O10" i="4"/>
  <c r="N10" i="4"/>
  <c r="M10" i="4"/>
  <c r="L10" i="4"/>
  <c r="Q10" i="3"/>
  <c r="U21" i="3"/>
  <c r="T21" i="3"/>
  <c r="R29" i="3"/>
  <c r="Q29" i="3"/>
  <c r="P29" i="3"/>
  <c r="V20" i="3" s="1"/>
  <c r="O29" i="3"/>
  <c r="V19" i="3" s="1"/>
  <c r="N29" i="3"/>
  <c r="M29" i="3"/>
  <c r="V17" i="3" s="1"/>
  <c r="L29" i="3"/>
  <c r="V16" i="3" s="1"/>
  <c r="S27" i="3"/>
  <c r="S26" i="3"/>
  <c r="S25" i="3"/>
  <c r="S24" i="3"/>
  <c r="S23" i="3"/>
  <c r="S22" i="3"/>
  <c r="V21" i="3"/>
  <c r="S21" i="3"/>
  <c r="U20" i="3"/>
  <c r="T20" i="3"/>
  <c r="S20" i="3"/>
  <c r="U19" i="3"/>
  <c r="T19" i="3"/>
  <c r="S19" i="3"/>
  <c r="V18" i="3"/>
  <c r="W18" i="3" s="1"/>
  <c r="U18" i="3"/>
  <c r="T18" i="3"/>
  <c r="S18" i="3"/>
  <c r="U17" i="3"/>
  <c r="T17" i="3"/>
  <c r="S17" i="3"/>
  <c r="U16" i="3"/>
  <c r="T16" i="3"/>
  <c r="S16" i="3"/>
  <c r="S15" i="3"/>
  <c r="S14" i="3"/>
  <c r="S13" i="3"/>
  <c r="S12" i="3"/>
  <c r="U10" i="3"/>
  <c r="X10" i="3" s="1"/>
  <c r="P10" i="3"/>
  <c r="O10" i="3"/>
  <c r="N10" i="3"/>
  <c r="M10" i="3"/>
  <c r="L10" i="3"/>
  <c r="R29" i="2"/>
  <c r="Q29" i="2"/>
  <c r="P29" i="2"/>
  <c r="O29" i="2"/>
  <c r="V19" i="2" s="1"/>
  <c r="N29" i="2"/>
  <c r="V18" i="2" s="1"/>
  <c r="M29" i="2"/>
  <c r="L29" i="2"/>
  <c r="V16" i="2" s="1"/>
  <c r="S27" i="2"/>
  <c r="S26" i="2"/>
  <c r="S25" i="2"/>
  <c r="S24" i="2"/>
  <c r="S23" i="2"/>
  <c r="S22" i="2"/>
  <c r="W21" i="2"/>
  <c r="X21" i="2" s="1"/>
  <c r="Y21" i="2" s="1"/>
  <c r="V21" i="2"/>
  <c r="S21" i="2"/>
  <c r="V20" i="2"/>
  <c r="X20" i="2" s="1"/>
  <c r="U20" i="2"/>
  <c r="T20" i="2"/>
  <c r="S20" i="2"/>
  <c r="U19" i="2"/>
  <c r="T19" i="2"/>
  <c r="S19" i="2"/>
  <c r="U18" i="2"/>
  <c r="T18" i="2"/>
  <c r="S18" i="2"/>
  <c r="V17" i="2"/>
  <c r="W17" i="2" s="1"/>
  <c r="X17" i="2" s="1"/>
  <c r="U17" i="2"/>
  <c r="T17" i="2"/>
  <c r="S17" i="2"/>
  <c r="U16" i="2"/>
  <c r="U22" i="2" s="1"/>
  <c r="T16" i="2"/>
  <c r="S16" i="2"/>
  <c r="S15" i="2"/>
  <c r="S14" i="2"/>
  <c r="S13" i="2"/>
  <c r="S12" i="2"/>
  <c r="U10" i="2"/>
  <c r="X10" i="2" s="1"/>
  <c r="P10" i="2"/>
  <c r="O10" i="2"/>
  <c r="N10" i="2"/>
  <c r="M10" i="2"/>
  <c r="L10" i="2"/>
  <c r="R29" i="1"/>
  <c r="Q29" i="1"/>
  <c r="P29" i="1"/>
  <c r="V20" i="1" s="1"/>
  <c r="O29" i="1"/>
  <c r="V19" i="1" s="1"/>
  <c r="W19" i="1" s="1"/>
  <c r="X19" i="1" s="1"/>
  <c r="N29" i="1"/>
  <c r="V18" i="1" s="1"/>
  <c r="M29" i="1"/>
  <c r="V17" i="1" s="1"/>
  <c r="L29" i="1"/>
  <c r="V16" i="1" s="1"/>
  <c r="S27" i="1"/>
  <c r="S26" i="1"/>
  <c r="S25" i="1"/>
  <c r="S24" i="1"/>
  <c r="S23" i="1"/>
  <c r="S22" i="1"/>
  <c r="V21" i="1"/>
  <c r="S21" i="1"/>
  <c r="U20" i="1"/>
  <c r="T20" i="1"/>
  <c r="S20" i="1"/>
  <c r="U19" i="1"/>
  <c r="T19" i="1"/>
  <c r="S19" i="1"/>
  <c r="U18" i="1"/>
  <c r="T18" i="1"/>
  <c r="S18" i="1"/>
  <c r="U17" i="1"/>
  <c r="T17" i="1"/>
  <c r="S17" i="1"/>
  <c r="U16" i="1"/>
  <c r="T16" i="1"/>
  <c r="S16" i="1"/>
  <c r="S15" i="1"/>
  <c r="S14" i="1"/>
  <c r="S13" i="1"/>
  <c r="S12" i="1"/>
  <c r="U10" i="1"/>
  <c r="X10" i="1" s="1"/>
  <c r="P10" i="1"/>
  <c r="O10" i="1"/>
  <c r="N10" i="1"/>
  <c r="M10" i="1"/>
  <c r="L10" i="1"/>
  <c r="S29" i="2" l="1"/>
  <c r="W17" i="4"/>
  <c r="X17" i="4" s="1"/>
  <c r="W20" i="3"/>
  <c r="X20" i="3" s="1"/>
  <c r="S29" i="3"/>
  <c r="W20" i="1"/>
  <c r="X20" i="1" s="1"/>
  <c r="V22" i="6"/>
  <c r="S29" i="6"/>
  <c r="S29" i="5"/>
  <c r="Y20" i="5"/>
  <c r="Y18" i="6"/>
  <c r="U22" i="6"/>
  <c r="W19" i="6"/>
  <c r="X19" i="6" s="1"/>
  <c r="Y19" i="6" s="1"/>
  <c r="Y20" i="6"/>
  <c r="X21" i="6"/>
  <c r="Y21" i="6" s="1"/>
  <c r="W16" i="6"/>
  <c r="W22" i="6" s="1"/>
  <c r="X17" i="6"/>
  <c r="Y17" i="6" s="1"/>
  <c r="U22" i="5"/>
  <c r="W17" i="5"/>
  <c r="X17" i="5"/>
  <c r="V22" i="5"/>
  <c r="W16" i="5"/>
  <c r="X21" i="5"/>
  <c r="W19" i="5"/>
  <c r="X19" i="5" s="1"/>
  <c r="W18" i="5"/>
  <c r="X18" i="5" s="1"/>
  <c r="U22" i="4"/>
  <c r="V22" i="4"/>
  <c r="W16" i="4"/>
  <c r="X16" i="4"/>
  <c r="W18" i="4"/>
  <c r="X18" i="4" s="1"/>
  <c r="Y20" i="4"/>
  <c r="W19" i="4"/>
  <c r="X19" i="4" s="1"/>
  <c r="U22" i="3"/>
  <c r="V22" i="3"/>
  <c r="W16" i="3"/>
  <c r="X16" i="3" s="1"/>
  <c r="X21" i="3"/>
  <c r="Y21" i="3" s="1"/>
  <c r="W19" i="3"/>
  <c r="X19" i="3" s="1"/>
  <c r="W17" i="3"/>
  <c r="X17" i="3" s="1"/>
  <c r="X18" i="3"/>
  <c r="W21" i="3"/>
  <c r="Y17" i="2"/>
  <c r="V22" i="2"/>
  <c r="W16" i="2"/>
  <c r="X16" i="2" s="1"/>
  <c r="W19" i="2"/>
  <c r="X19" i="2"/>
  <c r="Y19" i="2" s="1"/>
  <c r="W18" i="2"/>
  <c r="X18" i="2" s="1"/>
  <c r="Y18" i="2" s="1"/>
  <c r="Y20" i="2"/>
  <c r="Y19" i="1"/>
  <c r="U22" i="1"/>
  <c r="S29" i="1"/>
  <c r="V22" i="1"/>
  <c r="W16" i="1"/>
  <c r="X21" i="1"/>
  <c r="Y21" i="1" s="1"/>
  <c r="W18" i="1"/>
  <c r="X18" i="1" s="1"/>
  <c r="W17" i="1"/>
  <c r="X17" i="1" s="1"/>
  <c r="W21" i="1"/>
  <c r="Y17" i="4" l="1"/>
  <c r="Y18" i="4"/>
  <c r="Y20" i="3"/>
  <c r="Y17" i="3"/>
  <c r="Y18" i="3"/>
  <c r="Y16" i="3"/>
  <c r="Y19" i="4"/>
  <c r="Y18" i="5"/>
  <c r="Y19" i="5"/>
  <c r="Y17" i="5"/>
  <c r="Y20" i="1"/>
  <c r="Y19" i="3"/>
  <c r="Y18" i="1"/>
  <c r="Y17" i="1"/>
  <c r="Y21" i="5"/>
  <c r="W22" i="5"/>
  <c r="X16" i="5"/>
  <c r="X16" i="6"/>
  <c r="Y16" i="4"/>
  <c r="Y22" i="4" s="1"/>
  <c r="X22" i="4"/>
  <c r="W22" i="4"/>
  <c r="X22" i="3"/>
  <c r="W22" i="3"/>
  <c r="X22" i="2"/>
  <c r="Y16" i="2"/>
  <c r="Y22" i="2" s="1"/>
  <c r="W22" i="2"/>
  <c r="W22" i="1"/>
  <c r="X16" i="1"/>
  <c r="Y22" i="3" l="1"/>
  <c r="X22" i="5"/>
  <c r="Y16" i="5"/>
  <c r="Y22" i="5" s="1"/>
  <c r="X22" i="6"/>
  <c r="Y16" i="6"/>
  <c r="Y22" i="6" s="1"/>
  <c r="X22" i="1"/>
  <c r="Y16" i="1"/>
  <c r="Y22" i="1" s="1"/>
</calcChain>
</file>

<file path=xl/sharedStrings.xml><?xml version="1.0" encoding="utf-8"?>
<sst xmlns="http://schemas.openxmlformats.org/spreadsheetml/2006/main" count="400" uniqueCount="64">
  <si>
    <t>PRODUCT</t>
  </si>
  <si>
    <t>DATE</t>
  </si>
  <si>
    <t>CROP</t>
  </si>
  <si>
    <t>Paddy</t>
  </si>
  <si>
    <t>MKTG</t>
  </si>
  <si>
    <t>Bhaskar - Nellore</t>
  </si>
  <si>
    <t>PO NUMBER</t>
  </si>
  <si>
    <t>NO.OF.Activities</t>
  </si>
  <si>
    <t>Amount</t>
  </si>
  <si>
    <t>TOTAL</t>
  </si>
  <si>
    <t>With GST</t>
  </si>
  <si>
    <t>I.V NO</t>
  </si>
  <si>
    <t>AREA</t>
  </si>
  <si>
    <t>BUDGET</t>
  </si>
  <si>
    <t>Crop</t>
  </si>
  <si>
    <t>ACTIVITY</t>
  </si>
  <si>
    <t>TDGM</t>
  </si>
  <si>
    <t>MIE</t>
  </si>
  <si>
    <t>Activities</t>
  </si>
  <si>
    <t>SPENT</t>
  </si>
  <si>
    <t>SV Charges</t>
  </si>
  <si>
    <t>TOTAL IV</t>
  </si>
  <si>
    <t>BALANCE</t>
  </si>
  <si>
    <t>MA</t>
  </si>
  <si>
    <t>Rice Herbicides</t>
  </si>
  <si>
    <t>MFM (RGL)</t>
  </si>
  <si>
    <t>LFM (RGL)</t>
  </si>
  <si>
    <t>Fielddays</t>
  </si>
  <si>
    <t>G.M (RGL)</t>
  </si>
  <si>
    <t>G.M (Regular)</t>
  </si>
  <si>
    <t>Other Fungicides</t>
  </si>
  <si>
    <t>All Crops</t>
  </si>
  <si>
    <t>Pyraxalt,Picoxy</t>
  </si>
  <si>
    <t>New Product Launch</t>
  </si>
  <si>
    <t>LFM(RGL)</t>
  </si>
  <si>
    <t>MFM(RGL)</t>
  </si>
  <si>
    <t>FD</t>
  </si>
  <si>
    <t>BVC</t>
  </si>
  <si>
    <t>60 Days</t>
  </si>
  <si>
    <t>Biologicals</t>
  </si>
  <si>
    <t>Spinocyns &amp; Engage</t>
  </si>
  <si>
    <t>Cotton,Chilli,Veg</t>
  </si>
  <si>
    <t>33 Days</t>
  </si>
  <si>
    <t>Nellore</t>
  </si>
  <si>
    <t>Spinosyns</t>
  </si>
  <si>
    <t>C,C,Veggies</t>
  </si>
  <si>
    <t>Bhaskar</t>
  </si>
  <si>
    <t>Sai Charan</t>
  </si>
  <si>
    <t>Herbicides</t>
  </si>
  <si>
    <t>MFM</t>
  </si>
  <si>
    <t>Maneesh</t>
  </si>
  <si>
    <t>Pradeep</t>
  </si>
  <si>
    <t>LFM</t>
  </si>
  <si>
    <t>Subbaramireddy</t>
  </si>
  <si>
    <t>Tomato</t>
  </si>
  <si>
    <t>C.Ravi</t>
  </si>
  <si>
    <t>Rgl</t>
  </si>
  <si>
    <t>Nagarjuna</t>
  </si>
  <si>
    <t>C h Venkatreddy</t>
  </si>
  <si>
    <t>Venkateswarlu</t>
  </si>
  <si>
    <t>Dinesh</t>
  </si>
  <si>
    <t>RGL</t>
  </si>
  <si>
    <t>Regular</t>
  </si>
  <si>
    <t>Pyraxalt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</si>
</sst>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9"/>
      <color theme="1" tint="4.9989318521683403E-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C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7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/>
    <xf numFmtId="14" fontId="9" fillId="0" borderId="1" xfId="0" applyNumberFormat="1" applyFont="1" applyBorder="1"/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0" fontId="11" fillId="0" borderId="1" xfId="0" applyFont="1" applyBorder="1"/>
    <xf numFmtId="14" fontId="11" fillId="0" borderId="1" xfId="0" applyNumberFormat="1" applyFont="1" applyBorder="1"/>
    <xf numFmtId="0" fontId="1" fillId="0" borderId="1" xfId="0" applyFont="1" applyBorder="1"/>
    <xf numFmtId="0" fontId="12" fillId="0" borderId="1" xfId="0" applyFont="1" applyBorder="1"/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/>
    <xf numFmtId="0" fontId="14" fillId="0" borderId="1" xfId="0" applyFont="1" applyBorder="1"/>
    <xf numFmtId="0" fontId="2" fillId="0" borderId="0" xfId="0" applyFont="1"/>
    <xf numFmtId="0" fontId="16" fillId="0" borderId="1" xfId="0" applyFont="1" applyBorder="1"/>
    <xf numFmtId="14" fontId="16" fillId="0" borderId="1" xfId="0" applyNumberFormat="1" applyFont="1" applyBorder="1"/>
    <xf numFmtId="0" fontId="17" fillId="0" borderId="1" xfId="0" applyFont="1" applyBorder="1"/>
    <xf numFmtId="14" fontId="17" fillId="0" borderId="1" xfId="0" applyNumberFormat="1" applyFont="1" applyBorder="1"/>
    <xf numFmtId="14" fontId="10" fillId="0" borderId="1" xfId="0" applyNumberFormat="1" applyFont="1" applyBorder="1"/>
    <xf numFmtId="0" fontId="7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2" borderId="4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Y29"/>
  <sheetViews>
    <sheetView workbookViewId="0">
      <selection activeCell="J22" sqref="J22"/>
    </sheetView>
  </sheetViews>
  <sheetFormatPr defaultRowHeight="14.4" x14ac:dyDescent="0.3"/>
  <cols>
    <col min="1" max="1" width="7.21875" customWidth="1"/>
    <col min="7" max="7" width="6.88671875" customWidth="1"/>
    <col min="11" max="11" width="7.5546875" customWidth="1"/>
    <col min="14" max="14" width="9.109375" customWidth="1"/>
    <col min="15" max="15" width="7.21875" customWidth="1"/>
    <col min="16" max="16" width="7.44140625" customWidth="1"/>
    <col min="17" max="17" width="1.77734375" customWidth="1"/>
    <col min="18" max="18" width="3.6640625" customWidth="1"/>
    <col min="20" max="20" width="12.6640625" customWidth="1"/>
  </cols>
  <sheetData>
    <row r="3" spans="1:2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2"/>
      <c r="T3" s="2" t="s">
        <v>25</v>
      </c>
      <c r="U3" s="2">
        <v>75000</v>
      </c>
      <c r="V3" s="3"/>
      <c r="W3" s="1"/>
      <c r="X3" s="1"/>
      <c r="Y3" s="1"/>
    </row>
    <row r="4" spans="1:2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 t="s">
        <v>26</v>
      </c>
      <c r="U4" s="2">
        <v>80000</v>
      </c>
      <c r="V4" s="3"/>
      <c r="W4" s="1"/>
      <c r="X4" s="1"/>
      <c r="Y4" s="1"/>
    </row>
    <row r="5" spans="1:25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2"/>
      <c r="T5" s="2" t="s">
        <v>27</v>
      </c>
      <c r="U5" s="2">
        <v>30000</v>
      </c>
      <c r="V5" s="1"/>
      <c r="W5" s="1"/>
      <c r="X5" s="1"/>
      <c r="Y5" s="1"/>
    </row>
    <row r="6" spans="1:25" ht="18" x14ac:dyDescent="0.35">
      <c r="A6" s="32">
        <v>4800108503</v>
      </c>
      <c r="B6" s="33"/>
      <c r="C6" s="4"/>
      <c r="D6" s="2"/>
      <c r="E6" s="2" t="s">
        <v>0</v>
      </c>
      <c r="F6" s="29" t="s">
        <v>24</v>
      </c>
      <c r="G6" s="29"/>
      <c r="H6" s="29"/>
      <c r="I6" s="21" t="s">
        <v>2</v>
      </c>
      <c r="J6" s="21" t="s">
        <v>3</v>
      </c>
      <c r="K6" s="21"/>
      <c r="L6" s="2" t="s">
        <v>1</v>
      </c>
      <c r="M6" s="34">
        <v>46199</v>
      </c>
      <c r="N6" s="34"/>
      <c r="O6" s="2"/>
      <c r="P6" s="2"/>
      <c r="Q6" s="2"/>
      <c r="R6" s="2"/>
      <c r="S6" s="2"/>
      <c r="T6" s="2" t="s">
        <v>28</v>
      </c>
      <c r="U6" s="2">
        <v>40000</v>
      </c>
      <c r="V6" s="1"/>
      <c r="W6" s="1"/>
      <c r="X6" s="1"/>
      <c r="Y6" s="1"/>
    </row>
    <row r="7" spans="1:25" ht="18" x14ac:dyDescent="0.35">
      <c r="A7" s="35" t="s">
        <v>23</v>
      </c>
      <c r="B7" s="35"/>
      <c r="C7" s="35"/>
      <c r="D7" s="36" t="s">
        <v>5</v>
      </c>
      <c r="E7" s="36"/>
      <c r="F7" s="3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 t="s">
        <v>29</v>
      </c>
      <c r="U7" s="2">
        <v>25000</v>
      </c>
      <c r="V7" s="1"/>
      <c r="W7" s="1"/>
      <c r="X7" s="1"/>
      <c r="Y7" s="1"/>
    </row>
    <row r="8" spans="1:25" ht="18" x14ac:dyDescent="0.35">
      <c r="A8" s="5"/>
      <c r="B8" s="5"/>
      <c r="C8" s="5"/>
      <c r="D8" s="36"/>
      <c r="E8" s="36"/>
      <c r="F8" s="3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1"/>
      <c r="W8" s="1"/>
      <c r="X8" s="1"/>
      <c r="Y8" s="1"/>
    </row>
    <row r="9" spans="1:25" x14ac:dyDescent="0.3">
      <c r="A9" s="1"/>
      <c r="B9" s="1"/>
      <c r="C9" s="1"/>
      <c r="D9" s="36"/>
      <c r="E9" s="36"/>
      <c r="F9" s="36"/>
      <c r="G9" s="2"/>
      <c r="H9" s="2"/>
      <c r="I9" s="2"/>
      <c r="J9" s="2"/>
      <c r="K9" s="2"/>
      <c r="L9" s="2"/>
      <c r="M9" s="2"/>
      <c r="N9" s="2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6"/>
      <c r="B10" s="6"/>
      <c r="C10" s="6"/>
      <c r="D10" s="27" t="s">
        <v>6</v>
      </c>
      <c r="E10" s="6"/>
      <c r="F10" s="6"/>
      <c r="G10" s="6"/>
      <c r="H10" s="6"/>
      <c r="I10" s="6"/>
      <c r="J10" s="6"/>
      <c r="K10" s="27" t="s">
        <v>7</v>
      </c>
      <c r="L10" s="27" t="str">
        <f>T3</f>
        <v>MFM (RGL)</v>
      </c>
      <c r="M10" s="27" t="str">
        <f>T4</f>
        <v>LFM (RGL)</v>
      </c>
      <c r="N10" s="27" t="str">
        <f>T5</f>
        <v>Fielddays</v>
      </c>
      <c r="O10" s="27" t="str">
        <f>T6</f>
        <v>G.M (RGL)</v>
      </c>
      <c r="P10" s="30" t="str">
        <f>T7</f>
        <v>G.M (Regular)</v>
      </c>
      <c r="Q10" s="30"/>
      <c r="R10" s="27"/>
      <c r="S10" s="28" t="s">
        <v>8</v>
      </c>
      <c r="T10" s="8" t="s">
        <v>9</v>
      </c>
      <c r="U10" s="3">
        <f>SUM(U3:U9)</f>
        <v>250000</v>
      </c>
      <c r="V10" s="29" t="s">
        <v>10</v>
      </c>
      <c r="W10" s="29"/>
      <c r="X10" s="2">
        <f>U10*18%+U10</f>
        <v>295000</v>
      </c>
      <c r="Y10" s="1"/>
    </row>
    <row r="11" spans="1:25" x14ac:dyDescent="0.3">
      <c r="A11" s="7" t="s">
        <v>11</v>
      </c>
      <c r="B11" s="7" t="s">
        <v>1</v>
      </c>
      <c r="C11" s="7" t="s">
        <v>12</v>
      </c>
      <c r="D11" s="27"/>
      <c r="E11" s="7" t="s">
        <v>13</v>
      </c>
      <c r="F11" s="7" t="s">
        <v>0</v>
      </c>
      <c r="G11" s="7" t="s">
        <v>14</v>
      </c>
      <c r="H11" s="7" t="s">
        <v>15</v>
      </c>
      <c r="I11" s="7" t="s">
        <v>16</v>
      </c>
      <c r="J11" s="7" t="s">
        <v>17</v>
      </c>
      <c r="K11" s="27"/>
      <c r="L11" s="27"/>
      <c r="M11" s="27"/>
      <c r="N11" s="27"/>
      <c r="O11" s="27"/>
      <c r="P11" s="31"/>
      <c r="Q11" s="31"/>
      <c r="R11" s="27"/>
      <c r="S11" s="28"/>
      <c r="T11" s="9"/>
      <c r="U11" s="9"/>
      <c r="V11" s="9"/>
      <c r="W11" s="9"/>
      <c r="X11" s="9"/>
      <c r="Y11" s="9"/>
    </row>
    <row r="12" spans="1:25" x14ac:dyDescent="0.3">
      <c r="A12" s="13">
        <v>46</v>
      </c>
      <c r="B12" s="26">
        <v>46226</v>
      </c>
      <c r="C12" s="13" t="s">
        <v>43</v>
      </c>
      <c r="D12" s="13">
        <v>4800108503</v>
      </c>
      <c r="E12" s="13" t="s">
        <v>23</v>
      </c>
      <c r="F12" s="13" t="s">
        <v>48</v>
      </c>
      <c r="G12" s="13" t="s">
        <v>3</v>
      </c>
      <c r="H12" s="13" t="s">
        <v>49</v>
      </c>
      <c r="I12" s="13" t="s">
        <v>46</v>
      </c>
      <c r="J12" s="13" t="s">
        <v>50</v>
      </c>
      <c r="K12" s="13">
        <v>3</v>
      </c>
      <c r="L12" s="13">
        <v>45300</v>
      </c>
      <c r="M12" s="10"/>
      <c r="N12" s="10"/>
      <c r="O12" s="13"/>
      <c r="P12" s="13"/>
      <c r="Q12" s="13"/>
      <c r="R12" s="6"/>
      <c r="S12" s="6">
        <f>L12+M12+N12+O12+P12+Q12+R12</f>
        <v>45300</v>
      </c>
      <c r="T12" s="1"/>
      <c r="U12" s="1"/>
      <c r="V12" s="1"/>
      <c r="W12" s="1"/>
      <c r="X12" s="1"/>
      <c r="Y12" s="1"/>
    </row>
    <row r="13" spans="1:25" x14ac:dyDescent="0.3">
      <c r="A13" s="13"/>
      <c r="B13" s="26">
        <v>46226</v>
      </c>
      <c r="C13" s="13" t="s">
        <v>43</v>
      </c>
      <c r="D13" s="13">
        <v>4800108503</v>
      </c>
      <c r="E13" s="13" t="s">
        <v>23</v>
      </c>
      <c r="F13" s="13" t="s">
        <v>48</v>
      </c>
      <c r="G13" s="13" t="s">
        <v>3</v>
      </c>
      <c r="H13" s="13" t="s">
        <v>49</v>
      </c>
      <c r="I13" s="13" t="s">
        <v>46</v>
      </c>
      <c r="J13" s="13" t="s">
        <v>51</v>
      </c>
      <c r="K13" s="13">
        <v>5</v>
      </c>
      <c r="L13" s="13">
        <v>26120</v>
      </c>
      <c r="M13" s="14"/>
      <c r="N13" s="10"/>
      <c r="O13" s="13"/>
      <c r="P13" s="13"/>
      <c r="Q13" s="13"/>
      <c r="R13" s="6"/>
      <c r="S13" s="6">
        <f t="shared" ref="S13:S27" si="0">L13+M13+N13+O13+P13+Q13+R13</f>
        <v>26120</v>
      </c>
      <c r="T13" s="1"/>
      <c r="U13" s="1"/>
      <c r="V13" s="1"/>
      <c r="W13" s="1"/>
      <c r="X13" s="1"/>
      <c r="Y13" s="1"/>
    </row>
    <row r="14" spans="1:25" x14ac:dyDescent="0.3">
      <c r="A14" s="13"/>
      <c r="B14" s="26">
        <v>46226</v>
      </c>
      <c r="C14" s="13" t="s">
        <v>43</v>
      </c>
      <c r="D14" s="13">
        <v>4800108503</v>
      </c>
      <c r="E14" s="13" t="s">
        <v>23</v>
      </c>
      <c r="F14" s="13" t="s">
        <v>48</v>
      </c>
      <c r="G14" s="13" t="s">
        <v>3</v>
      </c>
      <c r="H14" s="13" t="s">
        <v>52</v>
      </c>
      <c r="I14" s="13" t="s">
        <v>46</v>
      </c>
      <c r="J14" s="13" t="s">
        <v>51</v>
      </c>
      <c r="K14" s="13">
        <v>5</v>
      </c>
      <c r="L14" s="13"/>
      <c r="M14" s="13">
        <v>15050</v>
      </c>
      <c r="N14" s="10"/>
      <c r="O14" s="13"/>
      <c r="P14" s="13"/>
      <c r="Q14" s="13"/>
      <c r="R14" s="6"/>
      <c r="S14" s="6">
        <f t="shared" si="0"/>
        <v>15050</v>
      </c>
      <c r="T14" s="1"/>
      <c r="U14" s="1"/>
      <c r="V14" s="1"/>
      <c r="W14" s="1"/>
      <c r="X14" s="1"/>
      <c r="Y14" s="1"/>
    </row>
    <row r="15" spans="1:25" x14ac:dyDescent="0.3">
      <c r="A15" s="13"/>
      <c r="B15" s="26">
        <v>46226</v>
      </c>
      <c r="C15" s="13" t="s">
        <v>43</v>
      </c>
      <c r="D15" s="13">
        <v>4800108503</v>
      </c>
      <c r="E15" s="13" t="s">
        <v>23</v>
      </c>
      <c r="F15" s="13" t="s">
        <v>48</v>
      </c>
      <c r="G15" s="13" t="s">
        <v>3</v>
      </c>
      <c r="H15" s="13" t="s">
        <v>52</v>
      </c>
      <c r="I15" s="13" t="s">
        <v>46</v>
      </c>
      <c r="J15" s="13" t="s">
        <v>53</v>
      </c>
      <c r="K15" s="13">
        <v>3</v>
      </c>
      <c r="L15" s="13"/>
      <c r="M15" s="13">
        <v>48000</v>
      </c>
      <c r="N15" s="10"/>
      <c r="O15" s="13"/>
      <c r="P15" s="13"/>
      <c r="Q15" s="13"/>
      <c r="R15" s="6"/>
      <c r="S15" s="6">
        <f t="shared" si="0"/>
        <v>48000</v>
      </c>
      <c r="T15" s="3" t="s">
        <v>18</v>
      </c>
      <c r="U15" s="2" t="s">
        <v>13</v>
      </c>
      <c r="V15" s="2" t="s">
        <v>19</v>
      </c>
      <c r="W15" s="2" t="s">
        <v>20</v>
      </c>
      <c r="X15" s="2" t="s">
        <v>21</v>
      </c>
      <c r="Y15" s="2" t="s">
        <v>22</v>
      </c>
    </row>
    <row r="16" spans="1:25" x14ac:dyDescent="0.3">
      <c r="A16" s="13">
        <v>67</v>
      </c>
      <c r="B16" s="26">
        <v>46254</v>
      </c>
      <c r="C16" s="13" t="s">
        <v>43</v>
      </c>
      <c r="D16" s="13">
        <v>4800108503</v>
      </c>
      <c r="E16" s="13" t="s">
        <v>23</v>
      </c>
      <c r="F16" s="13" t="s">
        <v>48</v>
      </c>
      <c r="G16" s="13" t="s">
        <v>3</v>
      </c>
      <c r="H16" s="13" t="s">
        <v>52</v>
      </c>
      <c r="I16" s="13" t="s">
        <v>46</v>
      </c>
      <c r="J16" s="13" t="s">
        <v>50</v>
      </c>
      <c r="K16" s="13">
        <v>1</v>
      </c>
      <c r="L16" s="13"/>
      <c r="M16" s="13">
        <v>12425</v>
      </c>
      <c r="N16" s="10"/>
      <c r="O16" s="6"/>
      <c r="P16" s="6"/>
      <c r="Q16" s="6"/>
      <c r="R16" s="6"/>
      <c r="S16" s="6">
        <f t="shared" si="0"/>
        <v>12425</v>
      </c>
      <c r="T16" s="2" t="str">
        <f t="shared" ref="T16:U18" si="1">T3</f>
        <v>MFM (RGL)</v>
      </c>
      <c r="U16" s="16">
        <f t="shared" si="1"/>
        <v>75000</v>
      </c>
      <c r="V16" s="16">
        <f>L29</f>
        <v>71420</v>
      </c>
      <c r="W16" s="16">
        <f>V16*5%</f>
        <v>3571</v>
      </c>
      <c r="X16" s="16">
        <f>V16+W16</f>
        <v>74991</v>
      </c>
      <c r="Y16" s="16">
        <f>U16-X16</f>
        <v>9</v>
      </c>
    </row>
    <row r="17" spans="1:25" x14ac:dyDescent="0.3">
      <c r="A17" s="13"/>
      <c r="B17" s="26">
        <v>46254</v>
      </c>
      <c r="C17" s="13" t="s">
        <v>43</v>
      </c>
      <c r="D17" s="13">
        <v>4800108503</v>
      </c>
      <c r="E17" s="13" t="s">
        <v>23</v>
      </c>
      <c r="F17" s="13" t="s">
        <v>48</v>
      </c>
      <c r="G17" s="13" t="s">
        <v>3</v>
      </c>
      <c r="H17" s="13" t="s">
        <v>36</v>
      </c>
      <c r="I17" s="13" t="s">
        <v>46</v>
      </c>
      <c r="J17" s="13" t="s">
        <v>50</v>
      </c>
      <c r="K17" s="13">
        <v>2</v>
      </c>
      <c r="L17" s="13"/>
      <c r="M17" s="10"/>
      <c r="N17" s="13">
        <v>22525</v>
      </c>
      <c r="O17" s="17"/>
      <c r="P17" s="6"/>
      <c r="Q17" s="6"/>
      <c r="R17" s="6"/>
      <c r="S17" s="6">
        <f t="shared" si="0"/>
        <v>22525</v>
      </c>
      <c r="T17" s="2" t="str">
        <f t="shared" si="1"/>
        <v>LFM (RGL)</v>
      </c>
      <c r="U17" s="16">
        <f t="shared" si="1"/>
        <v>80000</v>
      </c>
      <c r="V17" s="16">
        <f>M29</f>
        <v>75475</v>
      </c>
      <c r="W17" s="16">
        <f t="shared" ref="W17:W21" si="2">V17*5%</f>
        <v>3773.75</v>
      </c>
      <c r="X17" s="16">
        <f t="shared" ref="X17:X21" si="3">V17+W17</f>
        <v>79248.75</v>
      </c>
      <c r="Y17" s="16">
        <f t="shared" ref="Y17:Y21" si="4">U17-X17</f>
        <v>751.25</v>
      </c>
    </row>
    <row r="18" spans="1:25" x14ac:dyDescent="0.3">
      <c r="A18" s="13"/>
      <c r="B18" s="26">
        <v>46254</v>
      </c>
      <c r="C18" s="13" t="s">
        <v>43</v>
      </c>
      <c r="D18" s="13">
        <v>4800108503</v>
      </c>
      <c r="E18" s="13" t="s">
        <v>23</v>
      </c>
      <c r="F18" s="13" t="s">
        <v>48</v>
      </c>
      <c r="G18" s="13" t="s">
        <v>3</v>
      </c>
      <c r="H18" s="13" t="s">
        <v>36</v>
      </c>
      <c r="I18" s="13" t="s">
        <v>46</v>
      </c>
      <c r="J18" s="13" t="s">
        <v>60</v>
      </c>
      <c r="K18" s="13">
        <v>4</v>
      </c>
      <c r="L18" s="13"/>
      <c r="M18" s="10"/>
      <c r="N18" s="13">
        <v>6000</v>
      </c>
      <c r="O18" s="17"/>
      <c r="P18" s="17"/>
      <c r="Q18" s="6"/>
      <c r="R18" s="6"/>
      <c r="S18" s="6">
        <f t="shared" si="0"/>
        <v>6000</v>
      </c>
      <c r="T18" s="2" t="str">
        <f t="shared" si="1"/>
        <v>Fielddays</v>
      </c>
      <c r="U18" s="16">
        <f t="shared" si="1"/>
        <v>30000</v>
      </c>
      <c r="V18" s="16">
        <f>N29</f>
        <v>28525</v>
      </c>
      <c r="W18" s="16">
        <f t="shared" si="2"/>
        <v>1426.25</v>
      </c>
      <c r="X18" s="16">
        <f t="shared" si="3"/>
        <v>29951.25</v>
      </c>
      <c r="Y18" s="16">
        <f t="shared" si="4"/>
        <v>48.75</v>
      </c>
    </row>
    <row r="19" spans="1:25" x14ac:dyDescent="0.3">
      <c r="A19" s="13"/>
      <c r="B19" s="26">
        <v>46254</v>
      </c>
      <c r="C19" s="13" t="s">
        <v>43</v>
      </c>
      <c r="D19" s="13">
        <v>4800108503</v>
      </c>
      <c r="E19" s="13" t="s">
        <v>23</v>
      </c>
      <c r="F19" s="13" t="s">
        <v>48</v>
      </c>
      <c r="G19" s="13" t="s">
        <v>3</v>
      </c>
      <c r="H19" s="13" t="s">
        <v>61</v>
      </c>
      <c r="I19" s="13" t="s">
        <v>46</v>
      </c>
      <c r="J19" s="13" t="s">
        <v>50</v>
      </c>
      <c r="K19" s="13">
        <v>3</v>
      </c>
      <c r="L19" s="13"/>
      <c r="M19" s="10"/>
      <c r="N19" s="10"/>
      <c r="O19" s="13">
        <v>37525</v>
      </c>
      <c r="P19" s="17"/>
      <c r="Q19" s="6"/>
      <c r="R19" s="6"/>
      <c r="S19" s="6">
        <f t="shared" si="0"/>
        <v>37525</v>
      </c>
      <c r="T19" s="2" t="str">
        <f>T6</f>
        <v>G.M (RGL)</v>
      </c>
      <c r="U19" s="16">
        <f>U6</f>
        <v>40000</v>
      </c>
      <c r="V19" s="16">
        <f>O29</f>
        <v>37525</v>
      </c>
      <c r="W19" s="16">
        <f t="shared" si="2"/>
        <v>1876.25</v>
      </c>
      <c r="X19" s="16">
        <f t="shared" si="3"/>
        <v>39401.25</v>
      </c>
      <c r="Y19" s="16">
        <f t="shared" si="4"/>
        <v>598.75</v>
      </c>
    </row>
    <row r="20" spans="1:25" x14ac:dyDescent="0.3">
      <c r="A20" s="13"/>
      <c r="B20" s="26">
        <v>46254</v>
      </c>
      <c r="C20" s="13" t="s">
        <v>43</v>
      </c>
      <c r="D20" s="13">
        <v>4800108503</v>
      </c>
      <c r="E20" s="13" t="s">
        <v>23</v>
      </c>
      <c r="F20" s="13" t="s">
        <v>48</v>
      </c>
      <c r="G20" s="13" t="s">
        <v>3</v>
      </c>
      <c r="H20" s="13" t="s">
        <v>62</v>
      </c>
      <c r="I20" s="13" t="s">
        <v>46</v>
      </c>
      <c r="J20" s="13" t="s">
        <v>50</v>
      </c>
      <c r="K20" s="13">
        <v>2</v>
      </c>
      <c r="L20" s="13"/>
      <c r="M20" s="10"/>
      <c r="N20" s="10"/>
      <c r="O20" s="10"/>
      <c r="P20" s="13">
        <v>19050</v>
      </c>
      <c r="Q20" s="6"/>
      <c r="R20" s="6"/>
      <c r="S20" s="6">
        <f t="shared" si="0"/>
        <v>19050</v>
      </c>
      <c r="T20" s="2" t="str">
        <f>T7</f>
        <v>G.M (Regular)</v>
      </c>
      <c r="U20" s="16">
        <f>U7</f>
        <v>25000</v>
      </c>
      <c r="V20" s="16">
        <f>P29</f>
        <v>23900</v>
      </c>
      <c r="W20" s="16">
        <f t="shared" si="2"/>
        <v>1195</v>
      </c>
      <c r="X20" s="16">
        <f t="shared" si="3"/>
        <v>25095</v>
      </c>
      <c r="Y20" s="16">
        <f t="shared" si="4"/>
        <v>-95</v>
      </c>
    </row>
    <row r="21" spans="1:25" x14ac:dyDescent="0.3">
      <c r="A21" s="13"/>
      <c r="B21" s="26">
        <v>46254</v>
      </c>
      <c r="C21" s="13" t="s">
        <v>43</v>
      </c>
      <c r="D21" s="13">
        <v>4800108503</v>
      </c>
      <c r="E21" s="13" t="s">
        <v>23</v>
      </c>
      <c r="F21" s="13" t="s">
        <v>48</v>
      </c>
      <c r="G21" s="13" t="s">
        <v>3</v>
      </c>
      <c r="H21" s="13" t="s">
        <v>62</v>
      </c>
      <c r="I21" s="13" t="s">
        <v>46</v>
      </c>
      <c r="J21" s="13" t="s">
        <v>60</v>
      </c>
      <c r="K21" s="13">
        <v>3</v>
      </c>
      <c r="L21" s="13"/>
      <c r="M21" s="19"/>
      <c r="N21" s="19"/>
      <c r="O21" s="16"/>
      <c r="P21" s="13">
        <v>4850</v>
      </c>
      <c r="Q21" s="16"/>
      <c r="R21" s="16"/>
      <c r="S21" s="1">
        <f t="shared" si="0"/>
        <v>4850</v>
      </c>
      <c r="T21" s="2"/>
      <c r="U21" s="16"/>
      <c r="V21" s="16">
        <f>R29</f>
        <v>0</v>
      </c>
      <c r="W21" s="16">
        <f t="shared" si="2"/>
        <v>0</v>
      </c>
      <c r="X21" s="16">
        <f t="shared" si="3"/>
        <v>0</v>
      </c>
      <c r="Y21" s="16">
        <f t="shared" si="4"/>
        <v>0</v>
      </c>
    </row>
    <row r="22" spans="1:25" x14ac:dyDescent="0.3">
      <c r="A22" s="14"/>
      <c r="B22" s="15"/>
      <c r="C22" s="14"/>
      <c r="D22" s="18"/>
      <c r="E22" s="14"/>
      <c r="F22" s="14"/>
      <c r="G22" s="14"/>
      <c r="H22" s="14"/>
      <c r="I22" s="14"/>
      <c r="J22" s="14"/>
      <c r="K22" s="14"/>
      <c r="L22" s="14"/>
      <c r="M22" s="1"/>
      <c r="N22" s="1"/>
      <c r="O22" s="1"/>
      <c r="P22" s="1"/>
      <c r="Q22" s="1"/>
      <c r="R22" s="1"/>
      <c r="S22" s="1">
        <f t="shared" si="0"/>
        <v>0</v>
      </c>
      <c r="T22" s="8" t="s">
        <v>9</v>
      </c>
      <c r="U22" s="3">
        <f>SUM(U16:U21)</f>
        <v>250000</v>
      </c>
      <c r="V22" s="16">
        <f>SUM(V16:V21)</f>
        <v>236845</v>
      </c>
      <c r="W22" s="16">
        <f>SUM(W16:W21)</f>
        <v>11842.25</v>
      </c>
      <c r="X22" s="16">
        <f>SUM(X16:X21)</f>
        <v>248687.25</v>
      </c>
      <c r="Y22" s="3">
        <f>SUM(Y16:Y21)</f>
        <v>1312.75</v>
      </c>
    </row>
    <row r="23" spans="1:25" x14ac:dyDescent="0.3">
      <c r="A23" s="14"/>
      <c r="B23" s="15"/>
      <c r="C23" s="14"/>
      <c r="D23" s="18"/>
      <c r="E23" s="14"/>
      <c r="F23" s="14"/>
      <c r="G23" s="14"/>
      <c r="H23" s="14"/>
      <c r="I23" s="14"/>
      <c r="J23" s="14"/>
      <c r="K23" s="14"/>
      <c r="L23" s="14"/>
      <c r="M23" s="20"/>
      <c r="N23" s="20"/>
      <c r="O23" s="20"/>
      <c r="P23" s="20"/>
      <c r="Q23" s="20"/>
      <c r="R23" s="20"/>
      <c r="S23" s="1">
        <f t="shared" si="0"/>
        <v>0</v>
      </c>
      <c r="T23" s="1"/>
      <c r="U23" s="1"/>
      <c r="V23" s="1"/>
      <c r="W23" s="1"/>
      <c r="X23" s="1"/>
      <c r="Y23" s="1"/>
    </row>
    <row r="24" spans="1:25" x14ac:dyDescent="0.3">
      <c r="A24" s="14"/>
      <c r="B24" s="15"/>
      <c r="C24" s="14"/>
      <c r="D24" s="18"/>
      <c r="E24" s="14"/>
      <c r="F24" s="14"/>
      <c r="G24" s="14"/>
      <c r="H24" s="14"/>
      <c r="I24" s="14"/>
      <c r="J24" s="14"/>
      <c r="K24" s="14"/>
      <c r="L24" s="14"/>
      <c r="M24" s="14"/>
      <c r="N24" s="1"/>
      <c r="O24" s="1"/>
      <c r="P24" s="1"/>
      <c r="Q24" s="1"/>
      <c r="R24" s="1"/>
      <c r="S24" s="1">
        <f t="shared" si="0"/>
        <v>0</v>
      </c>
      <c r="T24" s="1"/>
      <c r="U24" s="1"/>
      <c r="V24" s="1"/>
      <c r="W24" s="1"/>
      <c r="X24" s="1"/>
      <c r="Y24" s="1"/>
    </row>
    <row r="25" spans="1:25" x14ac:dyDescent="0.3">
      <c r="A25" s="14"/>
      <c r="B25" s="15"/>
      <c r="C25" s="14"/>
      <c r="D25" s="18"/>
      <c r="E25" s="14"/>
      <c r="F25" s="14"/>
      <c r="G25" s="14"/>
      <c r="H25" s="14"/>
      <c r="I25" s="14"/>
      <c r="J25" s="14"/>
      <c r="K25" s="14"/>
      <c r="L25" s="14"/>
      <c r="M25" s="1"/>
      <c r="N25" s="14"/>
      <c r="O25" s="1"/>
      <c r="P25" s="1"/>
      <c r="Q25" s="1"/>
      <c r="R25" s="1"/>
      <c r="S25" s="1">
        <f t="shared" si="0"/>
        <v>0</v>
      </c>
      <c r="T25" s="1"/>
      <c r="U25" s="1"/>
      <c r="V25" s="1"/>
      <c r="W25" s="1"/>
      <c r="X25" s="1"/>
      <c r="Y25" s="1"/>
    </row>
    <row r="26" spans="1:25" x14ac:dyDescent="0.3">
      <c r="A26" s="14"/>
      <c r="B26" s="15"/>
      <c r="C26" s="14"/>
      <c r="D26" s="18"/>
      <c r="E26" s="14"/>
      <c r="F26" s="14"/>
      <c r="G26" s="14"/>
      <c r="H26" s="14"/>
      <c r="I26" s="14"/>
      <c r="J26" s="14"/>
      <c r="K26" s="14"/>
      <c r="L26" s="14"/>
      <c r="M26" s="1"/>
      <c r="N26" s="14"/>
      <c r="O26" s="1"/>
      <c r="P26" s="14"/>
      <c r="Q26" s="1"/>
      <c r="R26" s="1"/>
      <c r="S26" s="1">
        <f t="shared" si="0"/>
        <v>0</v>
      </c>
      <c r="T26" s="1"/>
      <c r="U26" s="1"/>
      <c r="V26" s="1"/>
      <c r="W26" s="1"/>
      <c r="X26" s="1"/>
      <c r="Y26" s="1"/>
    </row>
    <row r="27" spans="1:25" x14ac:dyDescent="0.3">
      <c r="A27" s="14"/>
      <c r="B27" s="15"/>
      <c r="C27" s="14"/>
      <c r="D27" s="18"/>
      <c r="E27" s="14"/>
      <c r="F27" s="14"/>
      <c r="G27" s="14"/>
      <c r="H27" s="14"/>
      <c r="I27" s="14"/>
      <c r="J27" s="14"/>
      <c r="K27" s="14"/>
      <c r="L27" s="14"/>
      <c r="M27" s="1"/>
      <c r="N27" s="1"/>
      <c r="O27" s="1"/>
      <c r="P27" s="14"/>
      <c r="Q27" s="1"/>
      <c r="R27" s="1"/>
      <c r="S27" s="1">
        <f t="shared" si="0"/>
        <v>0</v>
      </c>
      <c r="T27" s="1"/>
      <c r="U27" s="1"/>
      <c r="V27" s="1"/>
      <c r="W27" s="1"/>
      <c r="X27" s="1"/>
      <c r="Y27" s="1"/>
    </row>
    <row r="28" spans="1:25" x14ac:dyDescent="0.3">
      <c r="A28" s="14"/>
      <c r="B28" s="15"/>
      <c r="C28" s="14"/>
      <c r="D28" s="18"/>
      <c r="E28" s="14"/>
      <c r="F28" s="14"/>
      <c r="G28" s="14"/>
      <c r="H28" s="14"/>
      <c r="I28" s="14"/>
      <c r="J28" s="14"/>
      <c r="K28" s="14"/>
      <c r="L28" s="1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3">
        <f>SUM(L12:L27)</f>
        <v>71420</v>
      </c>
      <c r="M29" s="3">
        <f>SUM(M12:M27)</f>
        <v>75475</v>
      </c>
      <c r="N29" s="3">
        <f t="shared" ref="N29:R29" si="5">SUM(N12:N27)</f>
        <v>28525</v>
      </c>
      <c r="O29" s="3">
        <f t="shared" si="5"/>
        <v>37525</v>
      </c>
      <c r="P29" s="3">
        <f t="shared" si="5"/>
        <v>23900</v>
      </c>
      <c r="Q29" s="3">
        <f t="shared" si="5"/>
        <v>0</v>
      </c>
      <c r="R29" s="3">
        <f t="shared" si="5"/>
        <v>0</v>
      </c>
      <c r="S29" s="3">
        <f>SUM(S12:S27)</f>
        <v>236845</v>
      </c>
      <c r="T29" s="1"/>
      <c r="U29" s="1"/>
      <c r="V29" s="1"/>
      <c r="W29" s="1"/>
      <c r="X29" s="1"/>
      <c r="Y29" s="1"/>
    </row>
  </sheetData>
  <mergeCells count="16">
    <mergeCell ref="D10:D11"/>
    <mergeCell ref="K10:K11"/>
    <mergeCell ref="A6:B6"/>
    <mergeCell ref="F6:H6"/>
    <mergeCell ref="M6:N6"/>
    <mergeCell ref="A7:C7"/>
    <mergeCell ref="D7:F9"/>
    <mergeCell ref="R10:R11"/>
    <mergeCell ref="S10:S11"/>
    <mergeCell ref="V10:W10"/>
    <mergeCell ref="L10:L11"/>
    <mergeCell ref="M10:M11"/>
    <mergeCell ref="N10:N11"/>
    <mergeCell ref="O10:O11"/>
    <mergeCell ref="P10:P11"/>
    <mergeCell ref="Q10:Q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4D300-3BDD-4AB2-88DA-D3F7C5031CF1}">
  <dimension ref="A3:Y29"/>
  <sheetViews>
    <sheetView workbookViewId="0">
      <selection activeCell="T8" sqref="T8:U8"/>
    </sheetView>
  </sheetViews>
  <sheetFormatPr defaultRowHeight="14.4" x14ac:dyDescent="0.3"/>
  <cols>
    <col min="1" max="1" width="7.21875" customWidth="1"/>
    <col min="7" max="7" width="6.88671875" customWidth="1"/>
    <col min="11" max="11" width="7.5546875" customWidth="1"/>
    <col min="14" max="14" width="9.109375" customWidth="1"/>
    <col min="15" max="15" width="7.21875" customWidth="1"/>
    <col min="16" max="16" width="7.44140625" customWidth="1"/>
    <col min="17" max="17" width="5" customWidth="1"/>
    <col min="18" max="18" width="3.6640625" customWidth="1"/>
    <col min="20" max="20" width="12.6640625" customWidth="1"/>
  </cols>
  <sheetData>
    <row r="3" spans="1:2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2"/>
      <c r="T3" s="2"/>
      <c r="U3" s="2"/>
      <c r="V3" s="3"/>
      <c r="W3" s="1"/>
      <c r="X3" s="1"/>
      <c r="Y3" s="1"/>
    </row>
    <row r="4" spans="1:2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/>
      <c r="U4" s="2"/>
      <c r="V4" s="3"/>
      <c r="W4" s="1"/>
      <c r="X4" s="1"/>
      <c r="Y4" s="1"/>
    </row>
    <row r="5" spans="1:25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2"/>
      <c r="T5" s="2"/>
      <c r="U5" s="2"/>
      <c r="V5" s="1"/>
      <c r="W5" s="1"/>
      <c r="X5" s="1"/>
      <c r="Y5" s="1"/>
    </row>
    <row r="6" spans="1:25" ht="18" x14ac:dyDescent="0.35">
      <c r="A6" s="32">
        <v>4800108504</v>
      </c>
      <c r="B6" s="33"/>
      <c r="C6" s="4"/>
      <c r="D6" s="2"/>
      <c r="E6" s="2" t="s">
        <v>0</v>
      </c>
      <c r="F6" s="29" t="s">
        <v>30</v>
      </c>
      <c r="G6" s="29"/>
      <c r="H6" s="29"/>
      <c r="I6" s="21" t="s">
        <v>2</v>
      </c>
      <c r="J6" s="21" t="s">
        <v>31</v>
      </c>
      <c r="K6" s="21"/>
      <c r="L6" s="2" t="s">
        <v>1</v>
      </c>
      <c r="M6" s="34">
        <v>46199</v>
      </c>
      <c r="N6" s="34"/>
      <c r="O6" s="2"/>
      <c r="P6" s="2"/>
      <c r="Q6" s="2"/>
      <c r="R6" s="2"/>
      <c r="S6" s="2"/>
      <c r="T6" s="2"/>
      <c r="U6" s="2"/>
      <c r="V6" s="1"/>
      <c r="W6" s="1"/>
      <c r="X6" s="1"/>
      <c r="Y6" s="1"/>
    </row>
    <row r="7" spans="1:25" ht="18" x14ac:dyDescent="0.35">
      <c r="A7" s="35" t="s">
        <v>23</v>
      </c>
      <c r="B7" s="35"/>
      <c r="C7" s="35"/>
      <c r="D7" s="36" t="s">
        <v>5</v>
      </c>
      <c r="E7" s="36"/>
      <c r="F7" s="3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 t="s">
        <v>29</v>
      </c>
      <c r="U7" s="2">
        <v>25000</v>
      </c>
      <c r="V7" s="1"/>
      <c r="W7" s="1"/>
      <c r="X7" s="1"/>
      <c r="Y7" s="1"/>
    </row>
    <row r="8" spans="1:25" ht="18" x14ac:dyDescent="0.35">
      <c r="A8" s="5"/>
      <c r="B8" s="5"/>
      <c r="C8" s="5"/>
      <c r="D8" s="36"/>
      <c r="E8" s="36"/>
      <c r="F8" s="3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1"/>
      <c r="W8" s="1"/>
      <c r="X8" s="1"/>
      <c r="Y8" s="1"/>
    </row>
    <row r="9" spans="1:25" x14ac:dyDescent="0.3">
      <c r="A9" s="1"/>
      <c r="B9" s="1"/>
      <c r="C9" s="1"/>
      <c r="D9" s="36"/>
      <c r="E9" s="36"/>
      <c r="F9" s="36"/>
      <c r="G9" s="2"/>
      <c r="H9" s="2"/>
      <c r="I9" s="2"/>
      <c r="J9" s="2"/>
      <c r="K9" s="2"/>
      <c r="L9" s="2"/>
      <c r="M9" s="2"/>
      <c r="N9" s="2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6"/>
      <c r="B10" s="6"/>
      <c r="C10" s="6"/>
      <c r="D10" s="27" t="s">
        <v>6</v>
      </c>
      <c r="E10" s="6"/>
      <c r="F10" s="6"/>
      <c r="G10" s="6"/>
      <c r="H10" s="6"/>
      <c r="I10" s="6"/>
      <c r="J10" s="6"/>
      <c r="K10" s="27" t="s">
        <v>7</v>
      </c>
      <c r="L10" s="27">
        <f>T3</f>
        <v>0</v>
      </c>
      <c r="M10" s="27">
        <f>T4</f>
        <v>0</v>
      </c>
      <c r="N10" s="27">
        <f>T5</f>
        <v>0</v>
      </c>
      <c r="O10" s="27">
        <f>T6</f>
        <v>0</v>
      </c>
      <c r="P10" s="30" t="str">
        <f>T7</f>
        <v>G.M (Regular)</v>
      </c>
      <c r="Q10" s="30">
        <f>T8</f>
        <v>0</v>
      </c>
      <c r="R10" s="27"/>
      <c r="S10" s="28" t="s">
        <v>8</v>
      </c>
      <c r="T10" s="8" t="s">
        <v>9</v>
      </c>
      <c r="U10" s="3">
        <f>SUM(U3:U9)</f>
        <v>25000</v>
      </c>
      <c r="V10" s="29" t="s">
        <v>10</v>
      </c>
      <c r="W10" s="29"/>
      <c r="X10" s="2">
        <f>U10*18%+U10</f>
        <v>29500</v>
      </c>
      <c r="Y10" s="1"/>
    </row>
    <row r="11" spans="1:25" x14ac:dyDescent="0.3">
      <c r="A11" s="7" t="s">
        <v>11</v>
      </c>
      <c r="B11" s="7" t="s">
        <v>1</v>
      </c>
      <c r="C11" s="7" t="s">
        <v>12</v>
      </c>
      <c r="D11" s="27"/>
      <c r="E11" s="7" t="s">
        <v>13</v>
      </c>
      <c r="F11" s="7" t="s">
        <v>0</v>
      </c>
      <c r="G11" s="7" t="s">
        <v>14</v>
      </c>
      <c r="H11" s="7" t="s">
        <v>15</v>
      </c>
      <c r="I11" s="7" t="s">
        <v>16</v>
      </c>
      <c r="J11" s="7" t="s">
        <v>17</v>
      </c>
      <c r="K11" s="27"/>
      <c r="L11" s="27"/>
      <c r="M11" s="27"/>
      <c r="N11" s="27"/>
      <c r="O11" s="27"/>
      <c r="P11" s="31"/>
      <c r="Q11" s="31"/>
      <c r="R11" s="27"/>
      <c r="S11" s="28"/>
      <c r="T11" s="9"/>
      <c r="U11" s="9"/>
      <c r="V11" s="9"/>
      <c r="W11" s="9"/>
      <c r="X11" s="9"/>
      <c r="Y11" s="9"/>
    </row>
    <row r="12" spans="1:25" x14ac:dyDescent="0.3">
      <c r="A12" s="10"/>
      <c r="B12" s="11"/>
      <c r="C12" s="10"/>
      <c r="D12" s="12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"/>
      <c r="P12" s="13"/>
      <c r="Q12" s="13"/>
      <c r="R12" s="6"/>
      <c r="S12" s="6">
        <f>L12+M12+N12+O12+P12+Q12+R12</f>
        <v>0</v>
      </c>
      <c r="T12" s="1"/>
      <c r="U12" s="1"/>
      <c r="V12" s="1"/>
      <c r="W12" s="1"/>
      <c r="X12" s="1"/>
      <c r="Y12" s="1"/>
    </row>
    <row r="13" spans="1:25" x14ac:dyDescent="0.3">
      <c r="A13" s="13"/>
      <c r="B13" s="26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4"/>
      <c r="N13" s="13"/>
      <c r="O13" s="13"/>
      <c r="P13" s="13"/>
      <c r="Q13" s="13"/>
      <c r="R13" s="6"/>
      <c r="S13" s="6">
        <f t="shared" ref="S13:S27" si="0">L13+M13+N13+O13+P13+Q13+R13</f>
        <v>0</v>
      </c>
      <c r="T13" s="1"/>
      <c r="U13" s="1"/>
      <c r="V13" s="1"/>
      <c r="W13" s="1"/>
      <c r="X13" s="1"/>
      <c r="Y13" s="1"/>
    </row>
    <row r="14" spans="1:25" x14ac:dyDescent="0.3">
      <c r="A14" s="13"/>
      <c r="B14" s="26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0"/>
      <c r="N14" s="13"/>
      <c r="O14" s="13"/>
      <c r="P14" s="13"/>
      <c r="Q14" s="13"/>
      <c r="R14" s="6"/>
      <c r="S14" s="6">
        <f t="shared" si="0"/>
        <v>0</v>
      </c>
      <c r="T14" s="1"/>
      <c r="U14" s="1"/>
      <c r="V14" s="1"/>
      <c r="W14" s="1"/>
      <c r="X14" s="1"/>
      <c r="Y14" s="1"/>
    </row>
    <row r="15" spans="1:25" x14ac:dyDescent="0.3">
      <c r="A15" s="13"/>
      <c r="B15" s="26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0"/>
      <c r="N15" s="10"/>
      <c r="O15" s="13"/>
      <c r="P15" s="13"/>
      <c r="Q15" s="13"/>
      <c r="R15" s="6"/>
      <c r="S15" s="6">
        <f t="shared" si="0"/>
        <v>0</v>
      </c>
      <c r="T15" s="3" t="s">
        <v>18</v>
      </c>
      <c r="U15" s="2" t="s">
        <v>13</v>
      </c>
      <c r="V15" s="2" t="s">
        <v>19</v>
      </c>
      <c r="W15" s="2" t="s">
        <v>20</v>
      </c>
      <c r="X15" s="2" t="s">
        <v>21</v>
      </c>
      <c r="Y15" s="2" t="s">
        <v>22</v>
      </c>
    </row>
    <row r="16" spans="1:25" x14ac:dyDescent="0.3">
      <c r="A16" s="10"/>
      <c r="B16" s="10"/>
      <c r="C16" s="10"/>
      <c r="D16" s="12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6"/>
      <c r="P16" s="6"/>
      <c r="Q16" s="6"/>
      <c r="R16" s="6"/>
      <c r="S16" s="6">
        <f t="shared" si="0"/>
        <v>0</v>
      </c>
      <c r="T16" s="2">
        <f t="shared" ref="T16:U18" si="1">T3</f>
        <v>0</v>
      </c>
      <c r="U16" s="16">
        <f t="shared" si="1"/>
        <v>0</v>
      </c>
      <c r="V16" s="16">
        <f>L29</f>
        <v>0</v>
      </c>
      <c r="W16" s="16">
        <f>V16*5%</f>
        <v>0</v>
      </c>
      <c r="X16" s="16">
        <f>V16+W16</f>
        <v>0</v>
      </c>
      <c r="Y16" s="16">
        <f>U16-X16</f>
        <v>0</v>
      </c>
    </row>
    <row r="17" spans="1:25" x14ac:dyDescent="0.3">
      <c r="A17" s="10"/>
      <c r="B17" s="10"/>
      <c r="C17" s="10"/>
      <c r="D17" s="12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7"/>
      <c r="P17" s="6"/>
      <c r="Q17" s="6"/>
      <c r="R17" s="6"/>
      <c r="S17" s="6">
        <f t="shared" si="0"/>
        <v>0</v>
      </c>
      <c r="T17" s="2">
        <f t="shared" si="1"/>
        <v>0</v>
      </c>
      <c r="U17" s="16">
        <f t="shared" si="1"/>
        <v>0</v>
      </c>
      <c r="V17" s="16">
        <f>M29</f>
        <v>0</v>
      </c>
      <c r="W17" s="16">
        <f t="shared" ref="W17:W21" si="2">V17*5%</f>
        <v>0</v>
      </c>
      <c r="X17" s="16">
        <f t="shared" ref="X17:X21" si="3">V17+W17</f>
        <v>0</v>
      </c>
      <c r="Y17" s="16">
        <f t="shared" ref="Y17:Y21" si="4">U17-X17</f>
        <v>0</v>
      </c>
    </row>
    <row r="18" spans="1:25" x14ac:dyDescent="0.3">
      <c r="A18" s="10"/>
      <c r="B18" s="10"/>
      <c r="C18" s="10"/>
      <c r="D18" s="12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7"/>
      <c r="P18" s="17"/>
      <c r="Q18" s="6"/>
      <c r="R18" s="6"/>
      <c r="S18" s="6">
        <f t="shared" si="0"/>
        <v>0</v>
      </c>
      <c r="T18" s="2">
        <f t="shared" si="1"/>
        <v>0</v>
      </c>
      <c r="U18" s="16">
        <f t="shared" si="1"/>
        <v>0</v>
      </c>
      <c r="V18" s="16">
        <f>N29</f>
        <v>0</v>
      </c>
      <c r="W18" s="16">
        <f t="shared" si="2"/>
        <v>0</v>
      </c>
      <c r="X18" s="16">
        <f t="shared" si="3"/>
        <v>0</v>
      </c>
      <c r="Y18" s="16">
        <f t="shared" si="4"/>
        <v>0</v>
      </c>
    </row>
    <row r="19" spans="1:25" x14ac:dyDescent="0.3">
      <c r="A19" s="10"/>
      <c r="B19" s="10"/>
      <c r="C19" s="10"/>
      <c r="D19" s="12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6"/>
      <c r="P19" s="17"/>
      <c r="Q19" s="6"/>
      <c r="R19" s="6"/>
      <c r="S19" s="6">
        <f t="shared" si="0"/>
        <v>0</v>
      </c>
      <c r="T19" s="2">
        <f>T6</f>
        <v>0</v>
      </c>
      <c r="U19" s="16">
        <f>U6</f>
        <v>0</v>
      </c>
      <c r="V19" s="16">
        <f>O29</f>
        <v>0</v>
      </c>
      <c r="W19" s="16">
        <f t="shared" si="2"/>
        <v>0</v>
      </c>
      <c r="X19" s="16">
        <f t="shared" si="3"/>
        <v>0</v>
      </c>
      <c r="Y19" s="16">
        <f t="shared" si="4"/>
        <v>0</v>
      </c>
    </row>
    <row r="20" spans="1:25" x14ac:dyDescent="0.3">
      <c r="A20" s="10"/>
      <c r="B20" s="10"/>
      <c r="C20" s="10"/>
      <c r="D20" s="12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6"/>
      <c r="Q20" s="6"/>
      <c r="R20" s="6"/>
      <c r="S20" s="6">
        <f t="shared" si="0"/>
        <v>0</v>
      </c>
      <c r="T20" s="2" t="str">
        <f>T7</f>
        <v>G.M (Regular)</v>
      </c>
      <c r="U20" s="16">
        <f>U7</f>
        <v>25000</v>
      </c>
      <c r="V20" s="16">
        <f>P29</f>
        <v>0</v>
      </c>
      <c r="W20" s="16"/>
      <c r="X20" s="16">
        <f t="shared" si="3"/>
        <v>0</v>
      </c>
      <c r="Y20" s="16">
        <f t="shared" si="4"/>
        <v>25000</v>
      </c>
    </row>
    <row r="21" spans="1:25" x14ac:dyDescent="0.3">
      <c r="A21" s="14"/>
      <c r="B21" s="15"/>
      <c r="C21" s="14"/>
      <c r="D21" s="18"/>
      <c r="E21" s="14"/>
      <c r="F21" s="14"/>
      <c r="G21" s="14"/>
      <c r="H21" s="14"/>
      <c r="I21" s="14"/>
      <c r="J21" s="14"/>
      <c r="K21" s="14"/>
      <c r="L21" s="14"/>
      <c r="M21" s="19"/>
      <c r="N21" s="19"/>
      <c r="O21" s="16"/>
      <c r="P21" s="16"/>
      <c r="Q21" s="16"/>
      <c r="R21" s="16"/>
      <c r="S21" s="1">
        <f t="shared" si="0"/>
        <v>0</v>
      </c>
      <c r="T21" s="2">
        <f>T8</f>
        <v>0</v>
      </c>
      <c r="U21" s="16">
        <f>U8</f>
        <v>0</v>
      </c>
      <c r="V21" s="16">
        <f>R29</f>
        <v>0</v>
      </c>
      <c r="W21" s="16">
        <f t="shared" si="2"/>
        <v>0</v>
      </c>
      <c r="X21" s="16">
        <f t="shared" si="3"/>
        <v>0</v>
      </c>
      <c r="Y21" s="16">
        <f t="shared" si="4"/>
        <v>0</v>
      </c>
    </row>
    <row r="22" spans="1:25" x14ac:dyDescent="0.3">
      <c r="A22" s="14"/>
      <c r="B22" s="15"/>
      <c r="C22" s="14"/>
      <c r="D22" s="18"/>
      <c r="E22" s="14"/>
      <c r="F22" s="14"/>
      <c r="G22" s="14"/>
      <c r="H22" s="14"/>
      <c r="I22" s="14"/>
      <c r="J22" s="14"/>
      <c r="K22" s="14"/>
      <c r="L22" s="14"/>
      <c r="M22" s="1"/>
      <c r="N22" s="1"/>
      <c r="O22" s="1"/>
      <c r="P22" s="1"/>
      <c r="Q22" s="1"/>
      <c r="R22" s="1"/>
      <c r="S22" s="1">
        <f t="shared" si="0"/>
        <v>0</v>
      </c>
      <c r="T22" s="8" t="s">
        <v>9</v>
      </c>
      <c r="U22" s="3">
        <f>SUM(U16:U21)</f>
        <v>25000</v>
      </c>
      <c r="V22" s="16">
        <f>SUM(V16:V21)</f>
        <v>0</v>
      </c>
      <c r="W22" s="16">
        <f>SUM(W16:W21)</f>
        <v>0</v>
      </c>
      <c r="X22" s="16">
        <f>SUM(X16:X21)</f>
        <v>0</v>
      </c>
      <c r="Y22" s="3">
        <f>SUM(Y16:Y21)</f>
        <v>25000</v>
      </c>
    </row>
    <row r="23" spans="1:25" x14ac:dyDescent="0.3">
      <c r="A23" s="14"/>
      <c r="B23" s="15"/>
      <c r="C23" s="14"/>
      <c r="D23" s="18"/>
      <c r="E23" s="14"/>
      <c r="F23" s="14"/>
      <c r="G23" s="14"/>
      <c r="H23" s="14"/>
      <c r="I23" s="14"/>
      <c r="J23" s="14"/>
      <c r="K23" s="14"/>
      <c r="L23" s="14"/>
      <c r="M23" s="20"/>
      <c r="N23" s="20"/>
      <c r="O23" s="20"/>
      <c r="P23" s="20"/>
      <c r="Q23" s="20"/>
      <c r="R23" s="20"/>
      <c r="S23" s="1">
        <f t="shared" si="0"/>
        <v>0</v>
      </c>
      <c r="T23" s="1"/>
      <c r="U23" s="1"/>
      <c r="V23" s="1"/>
      <c r="W23" s="1"/>
      <c r="X23" s="1"/>
      <c r="Y23" s="1"/>
    </row>
    <row r="24" spans="1:25" x14ac:dyDescent="0.3">
      <c r="A24" s="14"/>
      <c r="B24" s="15"/>
      <c r="C24" s="14"/>
      <c r="D24" s="18"/>
      <c r="E24" s="14"/>
      <c r="F24" s="14"/>
      <c r="G24" s="14"/>
      <c r="H24" s="14"/>
      <c r="I24" s="14"/>
      <c r="J24" s="14"/>
      <c r="K24" s="14"/>
      <c r="L24" s="14"/>
      <c r="M24" s="14"/>
      <c r="N24" s="1"/>
      <c r="O24" s="1"/>
      <c r="P24" s="1"/>
      <c r="Q24" s="1"/>
      <c r="R24" s="1"/>
      <c r="S24" s="1">
        <f t="shared" si="0"/>
        <v>0</v>
      </c>
      <c r="T24" s="1"/>
      <c r="U24" s="1"/>
      <c r="V24" s="1"/>
      <c r="W24" s="1"/>
      <c r="X24" s="1"/>
      <c r="Y24" s="1"/>
    </row>
    <row r="25" spans="1:25" x14ac:dyDescent="0.3">
      <c r="A25" s="14"/>
      <c r="B25" s="15"/>
      <c r="C25" s="14"/>
      <c r="D25" s="18"/>
      <c r="E25" s="14"/>
      <c r="F25" s="14"/>
      <c r="G25" s="14"/>
      <c r="H25" s="14"/>
      <c r="I25" s="14"/>
      <c r="J25" s="14"/>
      <c r="K25" s="14"/>
      <c r="L25" s="14"/>
      <c r="M25" s="1"/>
      <c r="N25" s="14"/>
      <c r="O25" s="1"/>
      <c r="P25" s="1"/>
      <c r="Q25" s="1"/>
      <c r="R25" s="1"/>
      <c r="S25" s="1">
        <f t="shared" si="0"/>
        <v>0</v>
      </c>
      <c r="T25" s="1"/>
      <c r="U25" s="1"/>
      <c r="V25" s="1"/>
      <c r="W25" s="1"/>
      <c r="X25" s="1"/>
      <c r="Y25" s="1"/>
    </row>
    <row r="26" spans="1:25" x14ac:dyDescent="0.3">
      <c r="A26" s="14"/>
      <c r="B26" s="15"/>
      <c r="C26" s="14"/>
      <c r="D26" s="18"/>
      <c r="E26" s="14"/>
      <c r="F26" s="14"/>
      <c r="G26" s="14"/>
      <c r="H26" s="14"/>
      <c r="I26" s="14"/>
      <c r="J26" s="14"/>
      <c r="K26" s="14"/>
      <c r="L26" s="14"/>
      <c r="M26" s="1"/>
      <c r="N26" s="14"/>
      <c r="O26" s="1"/>
      <c r="P26" s="14"/>
      <c r="Q26" s="1"/>
      <c r="R26" s="1"/>
      <c r="S26" s="1">
        <f t="shared" si="0"/>
        <v>0</v>
      </c>
      <c r="T26" s="1"/>
      <c r="U26" s="1"/>
      <c r="V26" s="1"/>
      <c r="W26" s="1"/>
      <c r="X26" s="1"/>
      <c r="Y26" s="1"/>
    </row>
    <row r="27" spans="1:25" x14ac:dyDescent="0.3">
      <c r="A27" s="14"/>
      <c r="B27" s="15"/>
      <c r="C27" s="14"/>
      <c r="D27" s="18"/>
      <c r="E27" s="14"/>
      <c r="F27" s="14"/>
      <c r="G27" s="14"/>
      <c r="H27" s="14"/>
      <c r="I27" s="14"/>
      <c r="J27" s="14"/>
      <c r="K27" s="14"/>
      <c r="L27" s="14"/>
      <c r="M27" s="1"/>
      <c r="N27" s="1"/>
      <c r="O27" s="1"/>
      <c r="P27" s="14"/>
      <c r="Q27" s="1"/>
      <c r="R27" s="1"/>
      <c r="S27" s="1">
        <f t="shared" si="0"/>
        <v>0</v>
      </c>
      <c r="T27" s="1"/>
      <c r="U27" s="1"/>
      <c r="V27" s="1"/>
      <c r="W27" s="1"/>
      <c r="X27" s="1"/>
      <c r="Y27" s="1"/>
    </row>
    <row r="28" spans="1:25" x14ac:dyDescent="0.3">
      <c r="A28" s="14"/>
      <c r="B28" s="15"/>
      <c r="C28" s="14"/>
      <c r="D28" s="18"/>
      <c r="E28" s="14"/>
      <c r="F28" s="14"/>
      <c r="G28" s="14"/>
      <c r="H28" s="14"/>
      <c r="I28" s="14"/>
      <c r="J28" s="14"/>
      <c r="K28" s="14"/>
      <c r="L28" s="1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3">
        <f>SUM(L12:L27)</f>
        <v>0</v>
      </c>
      <c r="M29" s="3">
        <f>SUM(M12:M27)</f>
        <v>0</v>
      </c>
      <c r="N29" s="3">
        <f t="shared" ref="N29:R29" si="5">SUM(N12:N27)</f>
        <v>0</v>
      </c>
      <c r="O29" s="3">
        <f t="shared" si="5"/>
        <v>0</v>
      </c>
      <c r="P29" s="3">
        <f t="shared" si="5"/>
        <v>0</v>
      </c>
      <c r="Q29" s="3">
        <f t="shared" si="5"/>
        <v>0</v>
      </c>
      <c r="R29" s="3">
        <f t="shared" si="5"/>
        <v>0</v>
      </c>
      <c r="S29" s="3">
        <f>SUM(S12:S27)</f>
        <v>0</v>
      </c>
      <c r="T29" s="1"/>
      <c r="U29" s="1"/>
      <c r="V29" s="1"/>
      <c r="W29" s="1"/>
      <c r="X29" s="1"/>
      <c r="Y29" s="1"/>
    </row>
  </sheetData>
  <mergeCells count="16">
    <mergeCell ref="V10:W10"/>
    <mergeCell ref="A6:B6"/>
    <mergeCell ref="F6:H6"/>
    <mergeCell ref="M6:N6"/>
    <mergeCell ref="A7:C7"/>
    <mergeCell ref="D7:F9"/>
    <mergeCell ref="D10:D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8517B-5215-4627-BB6F-C02E7AF04F3E}">
  <dimension ref="A3:Y29"/>
  <sheetViews>
    <sheetView tabSelected="1" workbookViewId="0">
      <selection activeCell="L12" sqref="L12:L13"/>
    </sheetView>
  </sheetViews>
  <sheetFormatPr defaultRowHeight="14.4" x14ac:dyDescent="0.3"/>
  <cols>
    <col min="1" max="1" width="6.33203125" customWidth="1"/>
    <col min="7" max="7" width="6.88671875" customWidth="1"/>
    <col min="11" max="11" width="7.5546875" customWidth="1"/>
    <col min="12" max="12" width="8.21875" customWidth="1"/>
    <col min="13" max="13" width="8" customWidth="1"/>
    <col min="14" max="14" width="9.109375" customWidth="1"/>
    <col min="15" max="15" width="7.21875" customWidth="1"/>
    <col min="16" max="16" width="7.44140625" customWidth="1"/>
    <col min="17" max="17" width="6.44140625" customWidth="1"/>
    <col min="18" max="18" width="2.5546875" customWidth="1"/>
    <col min="20" max="20" width="12.6640625" customWidth="1"/>
    <col min="23" max="23" width="7.5546875" customWidth="1"/>
  </cols>
  <sheetData>
    <row r="3" spans="1:2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 t="s">
        <v>33</v>
      </c>
      <c r="P3" s="1"/>
      <c r="Q3" s="1"/>
      <c r="R3" s="1"/>
      <c r="S3" s="2"/>
      <c r="T3" s="2" t="s">
        <v>35</v>
      </c>
      <c r="U3" s="2">
        <v>150000</v>
      </c>
      <c r="V3" s="3"/>
      <c r="W3" s="1"/>
      <c r="X3" s="1"/>
      <c r="Y3" s="1"/>
    </row>
    <row r="4" spans="1:2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 t="s">
        <v>34</v>
      </c>
      <c r="U4" s="2">
        <v>80000</v>
      </c>
      <c r="V4" s="3"/>
      <c r="W4" s="1"/>
      <c r="X4" s="1"/>
      <c r="Y4" s="1"/>
    </row>
    <row r="5" spans="1:25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2"/>
      <c r="T5" s="2" t="s">
        <v>36</v>
      </c>
      <c r="U5" s="2">
        <v>63000</v>
      </c>
      <c r="V5" s="1"/>
      <c r="W5" s="1"/>
      <c r="X5" s="1"/>
      <c r="Y5" s="1"/>
    </row>
    <row r="6" spans="1:25" ht="18" x14ac:dyDescent="0.35">
      <c r="A6" s="32">
        <v>4800108505</v>
      </c>
      <c r="B6" s="33"/>
      <c r="C6" s="4"/>
      <c r="D6" s="2"/>
      <c r="E6" s="2" t="s">
        <v>0</v>
      </c>
      <c r="F6" s="29" t="s">
        <v>32</v>
      </c>
      <c r="G6" s="29"/>
      <c r="H6" s="29"/>
      <c r="I6" s="21" t="s">
        <v>2</v>
      </c>
      <c r="J6" s="21" t="s">
        <v>3</v>
      </c>
      <c r="K6" s="21"/>
      <c r="L6" s="2" t="s">
        <v>1</v>
      </c>
      <c r="M6" s="34">
        <v>46199</v>
      </c>
      <c r="N6" s="34"/>
      <c r="O6" s="2"/>
      <c r="P6" s="2"/>
      <c r="Q6" s="2"/>
      <c r="R6" s="2"/>
      <c r="S6" s="2"/>
      <c r="T6" s="2" t="s">
        <v>28</v>
      </c>
      <c r="U6" s="2">
        <v>80000</v>
      </c>
      <c r="V6" s="1"/>
      <c r="W6" s="1"/>
      <c r="X6" s="1"/>
      <c r="Y6" s="1"/>
    </row>
    <row r="7" spans="1:25" ht="18" x14ac:dyDescent="0.35">
      <c r="A7" s="35" t="s">
        <v>23</v>
      </c>
      <c r="B7" s="35"/>
      <c r="C7" s="35"/>
      <c r="D7" s="36" t="s">
        <v>5</v>
      </c>
      <c r="E7" s="36"/>
      <c r="F7" s="3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 t="s">
        <v>29</v>
      </c>
      <c r="U7" s="2">
        <v>55000</v>
      </c>
      <c r="V7" s="1"/>
      <c r="W7" s="1"/>
      <c r="X7" s="1"/>
      <c r="Y7" s="1"/>
    </row>
    <row r="8" spans="1:25" ht="18" x14ac:dyDescent="0.35">
      <c r="A8" s="5"/>
      <c r="B8" s="5"/>
      <c r="C8" s="5"/>
      <c r="D8" s="36"/>
      <c r="E8" s="36"/>
      <c r="F8" s="3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 t="s">
        <v>37</v>
      </c>
      <c r="U8" s="2">
        <v>210000</v>
      </c>
      <c r="V8" s="1" t="s">
        <v>38</v>
      </c>
      <c r="W8" s="1"/>
      <c r="X8" s="1"/>
      <c r="Y8" s="1"/>
    </row>
    <row r="9" spans="1:25" x14ac:dyDescent="0.3">
      <c r="A9" s="1"/>
      <c r="B9" s="1"/>
      <c r="C9" s="1"/>
      <c r="D9" s="36"/>
      <c r="E9" s="36"/>
      <c r="F9" s="36"/>
      <c r="G9" s="2"/>
      <c r="H9" s="2"/>
      <c r="I9" s="2"/>
      <c r="J9" s="2"/>
      <c r="K9" s="2"/>
      <c r="L9" s="2"/>
      <c r="M9" s="2"/>
      <c r="N9" s="2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6"/>
      <c r="B10" s="6"/>
      <c r="C10" s="6"/>
      <c r="D10" s="27" t="s">
        <v>6</v>
      </c>
      <c r="E10" s="6"/>
      <c r="F10" s="6"/>
      <c r="G10" s="6"/>
      <c r="H10" s="6"/>
      <c r="I10" s="6"/>
      <c r="J10" s="6"/>
      <c r="K10" s="27" t="s">
        <v>7</v>
      </c>
      <c r="L10" s="27" t="str">
        <f>T3</f>
        <v>MFM(RGL)</v>
      </c>
      <c r="M10" s="27" t="str">
        <f>T4</f>
        <v>LFM(RGL)</v>
      </c>
      <c r="N10" s="27" t="str">
        <f>T5</f>
        <v>FD</v>
      </c>
      <c r="O10" s="27" t="str">
        <f>T6</f>
        <v>G.M (RGL)</v>
      </c>
      <c r="P10" s="30" t="str">
        <f>T7</f>
        <v>G.M (Regular)</v>
      </c>
      <c r="Q10" s="30" t="str">
        <f>T8</f>
        <v>BVC</v>
      </c>
      <c r="R10" s="27"/>
      <c r="S10" s="28" t="s">
        <v>8</v>
      </c>
      <c r="T10" s="8" t="s">
        <v>9</v>
      </c>
      <c r="U10" s="3">
        <f>SUM(U3:U9)</f>
        <v>638000</v>
      </c>
      <c r="V10" s="29" t="s">
        <v>10</v>
      </c>
      <c r="W10" s="29"/>
      <c r="X10" s="2">
        <f>U10*18%+U10</f>
        <v>752840</v>
      </c>
      <c r="Y10" s="1"/>
    </row>
    <row r="11" spans="1:25" x14ac:dyDescent="0.3">
      <c r="A11" s="7" t="s">
        <v>11</v>
      </c>
      <c r="B11" s="7" t="s">
        <v>1</v>
      </c>
      <c r="C11" s="7" t="s">
        <v>12</v>
      </c>
      <c r="D11" s="27"/>
      <c r="E11" s="7" t="s">
        <v>13</v>
      </c>
      <c r="F11" s="7" t="s">
        <v>0</v>
      </c>
      <c r="G11" s="7" t="s">
        <v>14</v>
      </c>
      <c r="H11" s="7" t="s">
        <v>15</v>
      </c>
      <c r="I11" s="7" t="s">
        <v>16</v>
      </c>
      <c r="J11" s="7" t="s">
        <v>17</v>
      </c>
      <c r="K11" s="27"/>
      <c r="L11" s="27"/>
      <c r="M11" s="27"/>
      <c r="N11" s="27"/>
      <c r="O11" s="27"/>
      <c r="P11" s="31"/>
      <c r="Q11" s="31"/>
      <c r="R11" s="27"/>
      <c r="S11" s="28"/>
      <c r="T11" s="9"/>
      <c r="U11" s="9"/>
      <c r="V11" s="9"/>
      <c r="W11" s="9"/>
      <c r="X11" s="9"/>
      <c r="Y11" s="9"/>
    </row>
    <row r="12" spans="1:25" x14ac:dyDescent="0.3">
      <c r="A12" s="13">
        <v>68</v>
      </c>
      <c r="B12" s="26">
        <v>46254</v>
      </c>
      <c r="C12" s="13" t="s">
        <v>43</v>
      </c>
      <c r="D12" s="13">
        <v>4800108505</v>
      </c>
      <c r="E12" s="13" t="s">
        <v>23</v>
      </c>
      <c r="F12" s="13" t="s">
        <v>63</v>
      </c>
      <c r="G12" s="13" t="s">
        <v>3</v>
      </c>
      <c r="H12" s="13" t="s">
        <v>61</v>
      </c>
      <c r="I12" s="13" t="s">
        <v>46</v>
      </c>
      <c r="J12" s="13" t="s">
        <v>50</v>
      </c>
      <c r="K12" s="13">
        <v>8</v>
      </c>
      <c r="L12" s="13"/>
      <c r="M12" s="10"/>
      <c r="N12" s="10"/>
      <c r="O12" s="13">
        <v>76485</v>
      </c>
      <c r="P12" s="13"/>
      <c r="Q12" s="13"/>
      <c r="R12" s="6"/>
      <c r="S12" s="6">
        <f>L12+M12+N12+O12+P12+Q12+R12</f>
        <v>76485</v>
      </c>
      <c r="T12" s="1"/>
      <c r="U12" s="1"/>
      <c r="V12" s="1"/>
      <c r="W12" s="1"/>
      <c r="X12" s="1"/>
      <c r="Y12" s="1"/>
    </row>
    <row r="13" spans="1:25" x14ac:dyDescent="0.3">
      <c r="A13" s="13"/>
      <c r="B13" s="26">
        <v>46254</v>
      </c>
      <c r="C13" s="13" t="s">
        <v>43</v>
      </c>
      <c r="D13" s="13">
        <v>4800108505</v>
      </c>
      <c r="E13" s="13" t="s">
        <v>23</v>
      </c>
      <c r="F13" s="13" t="s">
        <v>63</v>
      </c>
      <c r="G13" s="13" t="s">
        <v>3</v>
      </c>
      <c r="H13" s="13" t="s">
        <v>62</v>
      </c>
      <c r="I13" s="13" t="s">
        <v>46</v>
      </c>
      <c r="J13" s="13" t="s">
        <v>50</v>
      </c>
      <c r="K13" s="13">
        <v>10</v>
      </c>
      <c r="L13" s="13"/>
      <c r="M13" s="14"/>
      <c r="N13" s="10"/>
      <c r="O13" s="13"/>
      <c r="P13" s="13">
        <v>40700</v>
      </c>
      <c r="Q13" s="13"/>
      <c r="R13" s="6"/>
      <c r="S13" s="6">
        <f t="shared" ref="S13:S27" si="0">L13+M13+N13+O13+P13+Q13+R13</f>
        <v>40700</v>
      </c>
      <c r="T13" s="1"/>
      <c r="U13" s="1"/>
      <c r="V13" s="1"/>
      <c r="W13" s="1"/>
      <c r="X13" s="1"/>
      <c r="Y13" s="1"/>
    </row>
    <row r="14" spans="1:25" x14ac:dyDescent="0.3">
      <c r="A14" s="10"/>
      <c r="B14" s="10"/>
      <c r="C14" s="10"/>
      <c r="D14" s="12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  <c r="P14" s="13"/>
      <c r="Q14" s="13"/>
      <c r="R14" s="6"/>
      <c r="S14" s="6">
        <f t="shared" si="0"/>
        <v>0</v>
      </c>
      <c r="T14" s="1"/>
      <c r="U14" s="1"/>
      <c r="V14" s="1"/>
      <c r="W14" s="1"/>
      <c r="X14" s="1"/>
      <c r="Y14" s="1"/>
    </row>
    <row r="15" spans="1:25" x14ac:dyDescent="0.3">
      <c r="A15" s="10"/>
      <c r="B15" s="10"/>
      <c r="C15" s="10"/>
      <c r="D15" s="12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  <c r="P15" s="13"/>
      <c r="Q15" s="13"/>
      <c r="R15" s="6"/>
      <c r="S15" s="6">
        <f t="shared" si="0"/>
        <v>0</v>
      </c>
      <c r="T15" s="3" t="s">
        <v>18</v>
      </c>
      <c r="U15" s="2" t="s">
        <v>13</v>
      </c>
      <c r="V15" s="2" t="s">
        <v>19</v>
      </c>
      <c r="W15" s="2" t="s">
        <v>20</v>
      </c>
      <c r="X15" s="2" t="s">
        <v>21</v>
      </c>
      <c r="Y15" s="2" t="s">
        <v>22</v>
      </c>
    </row>
    <row r="16" spans="1:25" x14ac:dyDescent="0.3">
      <c r="A16" s="10"/>
      <c r="B16" s="10"/>
      <c r="C16" s="10"/>
      <c r="D16" s="12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6"/>
      <c r="P16" s="6"/>
      <c r="Q16" s="6"/>
      <c r="R16" s="6"/>
      <c r="S16" s="6">
        <f t="shared" si="0"/>
        <v>0</v>
      </c>
      <c r="T16" s="2" t="str">
        <f t="shared" ref="T16:U18" si="1">T3</f>
        <v>MFM(RGL)</v>
      </c>
      <c r="U16" s="16">
        <f t="shared" si="1"/>
        <v>150000</v>
      </c>
      <c r="V16" s="16">
        <f>L29</f>
        <v>0</v>
      </c>
      <c r="W16" s="16">
        <f>V16*5%</f>
        <v>0</v>
      </c>
      <c r="X16" s="16">
        <f>V16+W16</f>
        <v>0</v>
      </c>
      <c r="Y16" s="16">
        <f>U16-X16</f>
        <v>150000</v>
      </c>
    </row>
    <row r="17" spans="1:25" x14ac:dyDescent="0.3">
      <c r="A17" s="10"/>
      <c r="B17" s="10"/>
      <c r="C17" s="10"/>
      <c r="D17" s="12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7"/>
      <c r="P17" s="6"/>
      <c r="Q17" s="6"/>
      <c r="R17" s="6"/>
      <c r="S17" s="6">
        <f t="shared" si="0"/>
        <v>0</v>
      </c>
      <c r="T17" s="2" t="str">
        <f t="shared" si="1"/>
        <v>LFM(RGL)</v>
      </c>
      <c r="U17" s="16">
        <f t="shared" si="1"/>
        <v>80000</v>
      </c>
      <c r="V17" s="16">
        <f>M29</f>
        <v>0</v>
      </c>
      <c r="W17" s="16">
        <f t="shared" ref="W17:W21" si="2">V17*5%</f>
        <v>0</v>
      </c>
      <c r="X17" s="16">
        <f t="shared" ref="X17:X21" si="3">V17+W17</f>
        <v>0</v>
      </c>
      <c r="Y17" s="16">
        <f t="shared" ref="Y17:Y21" si="4">U17-X17</f>
        <v>80000</v>
      </c>
    </row>
    <row r="18" spans="1:25" x14ac:dyDescent="0.3">
      <c r="A18" s="10"/>
      <c r="B18" s="10"/>
      <c r="C18" s="10"/>
      <c r="D18" s="12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7"/>
      <c r="P18" s="17"/>
      <c r="Q18" s="6"/>
      <c r="R18" s="6"/>
      <c r="S18" s="6">
        <f t="shared" si="0"/>
        <v>0</v>
      </c>
      <c r="T18" s="2" t="str">
        <f t="shared" si="1"/>
        <v>FD</v>
      </c>
      <c r="U18" s="16">
        <f t="shared" si="1"/>
        <v>63000</v>
      </c>
      <c r="V18" s="16">
        <f>N29</f>
        <v>0</v>
      </c>
      <c r="W18" s="16">
        <f t="shared" si="2"/>
        <v>0</v>
      </c>
      <c r="X18" s="16">
        <f t="shared" si="3"/>
        <v>0</v>
      </c>
      <c r="Y18" s="16">
        <f t="shared" si="4"/>
        <v>63000</v>
      </c>
    </row>
    <row r="19" spans="1:25" x14ac:dyDescent="0.3">
      <c r="A19" s="10"/>
      <c r="B19" s="10"/>
      <c r="C19" s="10"/>
      <c r="D19" s="12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6"/>
      <c r="P19" s="17"/>
      <c r="Q19" s="6"/>
      <c r="R19" s="6"/>
      <c r="S19" s="6">
        <f t="shared" si="0"/>
        <v>0</v>
      </c>
      <c r="T19" s="2" t="str">
        <f t="shared" ref="T19:U21" si="5">T6</f>
        <v>G.M (RGL)</v>
      </c>
      <c r="U19" s="16">
        <f t="shared" si="5"/>
        <v>80000</v>
      </c>
      <c r="V19" s="16">
        <f>O29</f>
        <v>76485</v>
      </c>
      <c r="W19" s="16">
        <f t="shared" si="2"/>
        <v>3824.25</v>
      </c>
      <c r="X19" s="16">
        <f t="shared" si="3"/>
        <v>80309.25</v>
      </c>
      <c r="Y19" s="16">
        <f t="shared" si="4"/>
        <v>-309.25</v>
      </c>
    </row>
    <row r="20" spans="1:25" x14ac:dyDescent="0.3">
      <c r="A20" s="10"/>
      <c r="B20" s="10"/>
      <c r="C20" s="10"/>
      <c r="D20" s="12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6"/>
      <c r="Q20" s="6"/>
      <c r="R20" s="6"/>
      <c r="S20" s="6">
        <f t="shared" si="0"/>
        <v>0</v>
      </c>
      <c r="T20" s="2" t="str">
        <f t="shared" si="5"/>
        <v>G.M (Regular)</v>
      </c>
      <c r="U20" s="16">
        <f t="shared" si="5"/>
        <v>55000</v>
      </c>
      <c r="V20" s="16">
        <f>P29</f>
        <v>40700</v>
      </c>
      <c r="W20" s="16">
        <f t="shared" si="2"/>
        <v>2035</v>
      </c>
      <c r="X20" s="16">
        <f t="shared" si="3"/>
        <v>42735</v>
      </c>
      <c r="Y20" s="16">
        <f t="shared" si="4"/>
        <v>12265</v>
      </c>
    </row>
    <row r="21" spans="1:25" x14ac:dyDescent="0.3">
      <c r="A21" s="14"/>
      <c r="B21" s="15"/>
      <c r="C21" s="14"/>
      <c r="D21" s="18"/>
      <c r="E21" s="14"/>
      <c r="F21" s="14"/>
      <c r="G21" s="14"/>
      <c r="H21" s="14"/>
      <c r="I21" s="14"/>
      <c r="J21" s="14"/>
      <c r="K21" s="14"/>
      <c r="L21" s="14"/>
      <c r="M21" s="19"/>
      <c r="N21" s="19"/>
      <c r="O21" s="16"/>
      <c r="P21" s="16"/>
      <c r="Q21" s="16"/>
      <c r="R21" s="16"/>
      <c r="S21" s="1">
        <f t="shared" si="0"/>
        <v>0</v>
      </c>
      <c r="T21" s="2" t="str">
        <f t="shared" si="5"/>
        <v>BVC</v>
      </c>
      <c r="U21" s="16">
        <f t="shared" si="5"/>
        <v>210000</v>
      </c>
      <c r="V21" s="16">
        <f>R29</f>
        <v>0</v>
      </c>
      <c r="W21" s="16">
        <f t="shared" si="2"/>
        <v>0</v>
      </c>
      <c r="X21" s="16">
        <f t="shared" si="3"/>
        <v>0</v>
      </c>
      <c r="Y21" s="16">
        <f t="shared" si="4"/>
        <v>210000</v>
      </c>
    </row>
    <row r="22" spans="1:25" x14ac:dyDescent="0.3">
      <c r="A22" s="14"/>
      <c r="B22" s="15"/>
      <c r="C22" s="14"/>
      <c r="D22" s="18"/>
      <c r="E22" s="14"/>
      <c r="F22" s="14"/>
      <c r="G22" s="14"/>
      <c r="H22" s="14"/>
      <c r="I22" s="14"/>
      <c r="J22" s="14"/>
      <c r="K22" s="14"/>
      <c r="L22" s="14"/>
      <c r="M22" s="1"/>
      <c r="N22" s="1"/>
      <c r="O22" s="1"/>
      <c r="P22" s="1"/>
      <c r="Q22" s="1"/>
      <c r="R22" s="1"/>
      <c r="S22" s="1">
        <f t="shared" si="0"/>
        <v>0</v>
      </c>
      <c r="T22" s="8" t="s">
        <v>9</v>
      </c>
      <c r="U22" s="3">
        <f>SUM(U16:U21)</f>
        <v>638000</v>
      </c>
      <c r="V22" s="16">
        <f>SUM(V16:V21)</f>
        <v>117185</v>
      </c>
      <c r="W22" s="16">
        <f>SUM(W16:W21)</f>
        <v>5859.25</v>
      </c>
      <c r="X22" s="16">
        <f>SUM(X16:X21)</f>
        <v>123044.25</v>
      </c>
      <c r="Y22" s="3">
        <f>SUM(Y16:Y21)</f>
        <v>514955.75</v>
      </c>
    </row>
    <row r="23" spans="1:25" x14ac:dyDescent="0.3">
      <c r="A23" s="14"/>
      <c r="B23" s="15"/>
      <c r="C23" s="14"/>
      <c r="D23" s="18"/>
      <c r="E23" s="14"/>
      <c r="F23" s="14"/>
      <c r="G23" s="14"/>
      <c r="H23" s="14"/>
      <c r="I23" s="14"/>
      <c r="J23" s="14"/>
      <c r="K23" s="14"/>
      <c r="L23" s="14"/>
      <c r="M23" s="20"/>
      <c r="N23" s="20"/>
      <c r="O23" s="20"/>
      <c r="P23" s="20"/>
      <c r="Q23" s="20"/>
      <c r="R23" s="20"/>
      <c r="S23" s="1">
        <f t="shared" si="0"/>
        <v>0</v>
      </c>
      <c r="T23" s="1"/>
      <c r="U23" s="1"/>
      <c r="V23" s="1"/>
      <c r="W23" s="1"/>
      <c r="X23" s="1"/>
      <c r="Y23" s="1"/>
    </row>
    <row r="24" spans="1:25" x14ac:dyDescent="0.3">
      <c r="A24" s="14"/>
      <c r="B24" s="15"/>
      <c r="C24" s="14"/>
      <c r="D24" s="18"/>
      <c r="E24" s="14"/>
      <c r="F24" s="14"/>
      <c r="G24" s="14"/>
      <c r="H24" s="14"/>
      <c r="I24" s="14"/>
      <c r="J24" s="14"/>
      <c r="K24" s="14"/>
      <c r="L24" s="14"/>
      <c r="M24" s="14"/>
      <c r="N24" s="1"/>
      <c r="O24" s="1"/>
      <c r="P24" s="1"/>
      <c r="Q24" s="1"/>
      <c r="R24" s="1"/>
      <c r="S24" s="1">
        <f t="shared" si="0"/>
        <v>0</v>
      </c>
      <c r="T24" s="1"/>
      <c r="U24" s="1"/>
      <c r="V24" s="1"/>
      <c r="W24" s="1"/>
      <c r="X24" s="1"/>
      <c r="Y24" s="1"/>
    </row>
    <row r="25" spans="1:25" x14ac:dyDescent="0.3">
      <c r="A25" s="14"/>
      <c r="B25" s="15"/>
      <c r="C25" s="14"/>
      <c r="D25" s="18"/>
      <c r="E25" s="14"/>
      <c r="F25" s="14"/>
      <c r="G25" s="14"/>
      <c r="H25" s="14"/>
      <c r="I25" s="14"/>
      <c r="J25" s="14"/>
      <c r="K25" s="14"/>
      <c r="L25" s="14"/>
      <c r="M25" s="1"/>
      <c r="N25" s="14"/>
      <c r="O25" s="1"/>
      <c r="P25" s="1"/>
      <c r="Q25" s="1"/>
      <c r="R25" s="1"/>
      <c r="S25" s="1">
        <f t="shared" si="0"/>
        <v>0</v>
      </c>
      <c r="T25" s="1"/>
      <c r="U25" s="1"/>
      <c r="V25" s="1"/>
      <c r="W25" s="1"/>
      <c r="X25" s="1"/>
      <c r="Y25" s="1"/>
    </row>
    <row r="26" spans="1:25" x14ac:dyDescent="0.3">
      <c r="A26" s="14"/>
      <c r="B26" s="15"/>
      <c r="C26" s="14"/>
      <c r="D26" s="18"/>
      <c r="E26" s="14"/>
      <c r="F26" s="14"/>
      <c r="G26" s="14"/>
      <c r="H26" s="14"/>
      <c r="I26" s="14"/>
      <c r="J26" s="14"/>
      <c r="K26" s="14"/>
      <c r="L26" s="14"/>
      <c r="M26" s="1"/>
      <c r="N26" s="14"/>
      <c r="O26" s="1"/>
      <c r="P26" s="14"/>
      <c r="Q26" s="1"/>
      <c r="R26" s="1"/>
      <c r="S26" s="1">
        <f t="shared" si="0"/>
        <v>0</v>
      </c>
      <c r="T26" s="1"/>
      <c r="U26" s="1"/>
      <c r="V26" s="1"/>
      <c r="W26" s="1"/>
      <c r="X26" s="1"/>
      <c r="Y26" s="1"/>
    </row>
    <row r="27" spans="1:25" x14ac:dyDescent="0.3">
      <c r="A27" s="14"/>
      <c r="B27" s="15"/>
      <c r="C27" s="14"/>
      <c r="D27" s="18"/>
      <c r="E27" s="14"/>
      <c r="F27" s="14"/>
      <c r="G27" s="14"/>
      <c r="H27" s="14"/>
      <c r="I27" s="14"/>
      <c r="J27" s="14"/>
      <c r="K27" s="14"/>
      <c r="L27" s="14"/>
      <c r="M27" s="1"/>
      <c r="N27" s="1"/>
      <c r="O27" s="1"/>
      <c r="P27" s="14"/>
      <c r="Q27" s="1"/>
      <c r="R27" s="1"/>
      <c r="S27" s="1">
        <f t="shared" si="0"/>
        <v>0</v>
      </c>
      <c r="T27" s="1"/>
      <c r="U27" s="1"/>
      <c r="V27" s="1"/>
      <c r="W27" s="1"/>
      <c r="X27" s="1"/>
      <c r="Y27" s="1"/>
    </row>
    <row r="28" spans="1:25" x14ac:dyDescent="0.3">
      <c r="A28" s="14"/>
      <c r="B28" s="15"/>
      <c r="C28" s="14"/>
      <c r="D28" s="18"/>
      <c r="E28" s="14"/>
      <c r="F28" s="14"/>
      <c r="G28" s="14"/>
      <c r="H28" s="14"/>
      <c r="I28" s="14"/>
      <c r="J28" s="14"/>
      <c r="K28" s="14"/>
      <c r="L28" s="1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3">
        <f>SUM(L12:L27)</f>
        <v>0</v>
      </c>
      <c r="M29" s="3">
        <f>SUM(M12:M27)</f>
        <v>0</v>
      </c>
      <c r="N29" s="3">
        <f t="shared" ref="N29:R29" si="6">SUM(N12:N27)</f>
        <v>0</v>
      </c>
      <c r="O29" s="3">
        <f t="shared" si="6"/>
        <v>76485</v>
      </c>
      <c r="P29" s="3">
        <f t="shared" si="6"/>
        <v>40700</v>
      </c>
      <c r="Q29" s="3">
        <f t="shared" si="6"/>
        <v>0</v>
      </c>
      <c r="R29" s="3">
        <f t="shared" si="6"/>
        <v>0</v>
      </c>
      <c r="S29" s="3">
        <f>SUM(S12:S27)</f>
        <v>117185</v>
      </c>
      <c r="T29" s="1"/>
      <c r="U29" s="1"/>
      <c r="V29" s="1"/>
      <c r="W29" s="1"/>
      <c r="X29" s="1"/>
      <c r="Y29" s="1"/>
    </row>
  </sheetData>
  <mergeCells count="16">
    <mergeCell ref="V10:W10"/>
    <mergeCell ref="A6:B6"/>
    <mergeCell ref="F6:H6"/>
    <mergeCell ref="M6:N6"/>
    <mergeCell ref="A7:C7"/>
    <mergeCell ref="D7:F9"/>
    <mergeCell ref="D10:D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A7B49-1B0E-4B16-A5A6-9168B0F90351}">
  <dimension ref="A3:Y29"/>
  <sheetViews>
    <sheetView workbookViewId="0">
      <selection activeCell="L12" sqref="L12"/>
    </sheetView>
  </sheetViews>
  <sheetFormatPr defaultRowHeight="14.4" x14ac:dyDescent="0.3"/>
  <cols>
    <col min="1" max="1" width="6.33203125" customWidth="1"/>
    <col min="7" max="7" width="6.88671875" customWidth="1"/>
    <col min="11" max="11" width="7.5546875" customWidth="1"/>
    <col min="12" max="12" width="8.21875" customWidth="1"/>
    <col min="13" max="13" width="8" customWidth="1"/>
    <col min="14" max="14" width="9.109375" customWidth="1"/>
    <col min="15" max="15" width="7.21875" customWidth="1"/>
    <col min="16" max="16" width="7.44140625" customWidth="1"/>
    <col min="17" max="17" width="6.44140625" customWidth="1"/>
    <col min="18" max="18" width="2.5546875" customWidth="1"/>
    <col min="20" max="20" width="12.6640625" customWidth="1"/>
    <col min="23" max="23" width="7.5546875" customWidth="1"/>
  </cols>
  <sheetData>
    <row r="3" spans="1:2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2"/>
      <c r="T3" s="2"/>
      <c r="U3" s="2"/>
      <c r="V3" s="3"/>
      <c r="W3" s="1"/>
      <c r="X3" s="1"/>
      <c r="Y3" s="1"/>
    </row>
    <row r="4" spans="1:2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 t="s">
        <v>34</v>
      </c>
      <c r="U4" s="2">
        <v>80000</v>
      </c>
      <c r="V4" s="3"/>
      <c r="W4" s="1"/>
      <c r="X4" s="1"/>
      <c r="Y4" s="1"/>
    </row>
    <row r="5" spans="1:25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2"/>
      <c r="T5" s="2" t="s">
        <v>36</v>
      </c>
      <c r="U5" s="2">
        <v>30000</v>
      </c>
      <c r="V5" s="1"/>
      <c r="W5" s="1"/>
      <c r="X5" s="1"/>
      <c r="Y5" s="1"/>
    </row>
    <row r="6" spans="1:25" ht="18" x14ac:dyDescent="0.35">
      <c r="A6" s="32">
        <v>4800108506</v>
      </c>
      <c r="B6" s="33"/>
      <c r="C6" s="4"/>
      <c r="D6" s="2"/>
      <c r="E6" s="2" t="s">
        <v>0</v>
      </c>
      <c r="F6" s="29" t="s">
        <v>39</v>
      </c>
      <c r="G6" s="29"/>
      <c r="H6" s="29"/>
      <c r="I6" s="21" t="s">
        <v>2</v>
      </c>
      <c r="J6" s="21" t="s">
        <v>31</v>
      </c>
      <c r="K6" s="21"/>
      <c r="L6" s="2" t="s">
        <v>1</v>
      </c>
      <c r="M6" s="34">
        <v>46199</v>
      </c>
      <c r="N6" s="34"/>
      <c r="O6" s="2"/>
      <c r="P6" s="2"/>
      <c r="Q6" s="2"/>
      <c r="R6" s="2"/>
      <c r="S6" s="2"/>
      <c r="T6" s="2" t="s">
        <v>28</v>
      </c>
      <c r="U6" s="2">
        <v>20000</v>
      </c>
      <c r="V6" s="1"/>
      <c r="W6" s="1"/>
      <c r="X6" s="1"/>
      <c r="Y6" s="1"/>
    </row>
    <row r="7" spans="1:25" ht="18" x14ac:dyDescent="0.35">
      <c r="A7" s="35" t="s">
        <v>23</v>
      </c>
      <c r="B7" s="35"/>
      <c r="C7" s="35"/>
      <c r="D7" s="36" t="s">
        <v>5</v>
      </c>
      <c r="E7" s="36"/>
      <c r="F7" s="3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 t="s">
        <v>29</v>
      </c>
      <c r="U7" s="2">
        <v>10000</v>
      </c>
      <c r="V7" s="1"/>
      <c r="W7" s="1"/>
      <c r="X7" s="1"/>
      <c r="Y7" s="1"/>
    </row>
    <row r="8" spans="1:25" ht="18" x14ac:dyDescent="0.35">
      <c r="A8" s="5"/>
      <c r="B8" s="5"/>
      <c r="C8" s="5"/>
      <c r="D8" s="36"/>
      <c r="E8" s="36"/>
      <c r="F8" s="3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1"/>
      <c r="W8" s="1"/>
      <c r="X8" s="1"/>
      <c r="Y8" s="1"/>
    </row>
    <row r="9" spans="1:25" x14ac:dyDescent="0.3">
      <c r="A9" s="1"/>
      <c r="B9" s="1"/>
      <c r="C9" s="1"/>
      <c r="D9" s="36"/>
      <c r="E9" s="36"/>
      <c r="F9" s="36"/>
      <c r="G9" s="2"/>
      <c r="H9" s="2"/>
      <c r="I9" s="2"/>
      <c r="J9" s="2"/>
      <c r="K9" s="2"/>
      <c r="L9" s="2"/>
      <c r="M9" s="2"/>
      <c r="N9" s="2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6"/>
      <c r="B10" s="6"/>
      <c r="C10" s="6"/>
      <c r="D10" s="27" t="s">
        <v>6</v>
      </c>
      <c r="E10" s="6"/>
      <c r="F10" s="6"/>
      <c r="G10" s="6"/>
      <c r="H10" s="6"/>
      <c r="I10" s="6"/>
      <c r="J10" s="6"/>
      <c r="K10" s="27" t="s">
        <v>7</v>
      </c>
      <c r="L10" s="27">
        <f>T3</f>
        <v>0</v>
      </c>
      <c r="M10" s="27" t="str">
        <f>T4</f>
        <v>LFM(RGL)</v>
      </c>
      <c r="N10" s="27" t="str">
        <f>T5</f>
        <v>FD</v>
      </c>
      <c r="O10" s="27" t="str">
        <f>T6</f>
        <v>G.M (RGL)</v>
      </c>
      <c r="P10" s="30" t="str">
        <f>T7</f>
        <v>G.M (Regular)</v>
      </c>
      <c r="Q10" s="30">
        <f>T8</f>
        <v>0</v>
      </c>
      <c r="R10" s="27"/>
      <c r="S10" s="28" t="s">
        <v>8</v>
      </c>
      <c r="T10" s="8" t="s">
        <v>9</v>
      </c>
      <c r="U10" s="3">
        <f>SUM(U3:U9)</f>
        <v>140000</v>
      </c>
      <c r="V10" s="29" t="s">
        <v>10</v>
      </c>
      <c r="W10" s="29"/>
      <c r="X10" s="2">
        <f>U10*18%+U10</f>
        <v>165200</v>
      </c>
      <c r="Y10" s="1"/>
    </row>
    <row r="11" spans="1:25" x14ac:dyDescent="0.3">
      <c r="A11" s="7" t="s">
        <v>11</v>
      </c>
      <c r="B11" s="7" t="s">
        <v>1</v>
      </c>
      <c r="C11" s="7" t="s">
        <v>12</v>
      </c>
      <c r="D11" s="27"/>
      <c r="E11" s="7" t="s">
        <v>13</v>
      </c>
      <c r="F11" s="7" t="s">
        <v>0</v>
      </c>
      <c r="G11" s="7" t="s">
        <v>14</v>
      </c>
      <c r="H11" s="7" t="s">
        <v>15</v>
      </c>
      <c r="I11" s="7" t="s">
        <v>16</v>
      </c>
      <c r="J11" s="7" t="s">
        <v>17</v>
      </c>
      <c r="K11" s="27"/>
      <c r="L11" s="27"/>
      <c r="M11" s="27"/>
      <c r="N11" s="27"/>
      <c r="O11" s="27"/>
      <c r="P11" s="31"/>
      <c r="Q11" s="31"/>
      <c r="R11" s="27"/>
      <c r="S11" s="28"/>
      <c r="T11" s="9"/>
      <c r="U11" s="9"/>
      <c r="V11" s="9"/>
      <c r="W11" s="9"/>
      <c r="X11" s="9"/>
      <c r="Y11" s="9"/>
    </row>
    <row r="12" spans="1:25" x14ac:dyDescent="0.3">
      <c r="A12" s="14">
        <v>69</v>
      </c>
      <c r="B12" s="15">
        <v>46254</v>
      </c>
      <c r="C12" s="14" t="s">
        <v>43</v>
      </c>
      <c r="D12" s="14">
        <v>4800108506</v>
      </c>
      <c r="E12" s="14" t="s">
        <v>23</v>
      </c>
      <c r="F12" s="14" t="s">
        <v>39</v>
      </c>
      <c r="G12" s="14" t="s">
        <v>31</v>
      </c>
      <c r="H12" s="14" t="s">
        <v>61</v>
      </c>
      <c r="I12" s="14" t="s">
        <v>46</v>
      </c>
      <c r="J12" s="14" t="s">
        <v>55</v>
      </c>
      <c r="K12" s="14">
        <v>5</v>
      </c>
      <c r="L12" s="14"/>
      <c r="M12" s="10"/>
      <c r="N12" s="10"/>
      <c r="O12" s="14">
        <v>12500</v>
      </c>
      <c r="P12" s="13"/>
      <c r="Q12" s="13"/>
      <c r="R12" s="6"/>
      <c r="S12" s="6">
        <f>L12+M12+N12+O12+P12+Q12+R12</f>
        <v>12500</v>
      </c>
      <c r="T12" s="1"/>
      <c r="U12" s="1"/>
      <c r="V12" s="1"/>
      <c r="W12" s="1"/>
      <c r="X12" s="1"/>
      <c r="Y12" s="1"/>
    </row>
    <row r="13" spans="1:25" x14ac:dyDescent="0.3">
      <c r="A13" s="14"/>
      <c r="B13" s="15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0"/>
      <c r="O13" s="13"/>
      <c r="P13" s="13"/>
      <c r="Q13" s="13"/>
      <c r="R13" s="6"/>
      <c r="S13" s="6">
        <f t="shared" ref="S13:S27" si="0">L13+M13+N13+O13+P13+Q13+R13</f>
        <v>0</v>
      </c>
      <c r="T13" s="1"/>
      <c r="U13" s="1"/>
      <c r="V13" s="1"/>
      <c r="W13" s="1"/>
      <c r="X13" s="1"/>
      <c r="Y13" s="1"/>
    </row>
    <row r="14" spans="1:25" x14ac:dyDescent="0.3">
      <c r="A14" s="10"/>
      <c r="B14" s="10"/>
      <c r="C14" s="10"/>
      <c r="D14" s="12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  <c r="P14" s="13"/>
      <c r="Q14" s="13"/>
      <c r="R14" s="6"/>
      <c r="S14" s="6">
        <f t="shared" si="0"/>
        <v>0</v>
      </c>
      <c r="T14" s="1"/>
      <c r="U14" s="1"/>
      <c r="V14" s="1"/>
      <c r="W14" s="1"/>
      <c r="X14" s="1"/>
      <c r="Y14" s="1"/>
    </row>
    <row r="15" spans="1:25" x14ac:dyDescent="0.3">
      <c r="A15" s="10"/>
      <c r="B15" s="10"/>
      <c r="C15" s="10"/>
      <c r="D15" s="12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  <c r="P15" s="13"/>
      <c r="Q15" s="13"/>
      <c r="R15" s="6"/>
      <c r="S15" s="6">
        <f t="shared" si="0"/>
        <v>0</v>
      </c>
      <c r="T15" s="3" t="s">
        <v>18</v>
      </c>
      <c r="U15" s="2" t="s">
        <v>13</v>
      </c>
      <c r="V15" s="2" t="s">
        <v>19</v>
      </c>
      <c r="W15" s="2" t="s">
        <v>20</v>
      </c>
      <c r="X15" s="2" t="s">
        <v>21</v>
      </c>
      <c r="Y15" s="2" t="s">
        <v>22</v>
      </c>
    </row>
    <row r="16" spans="1:25" x14ac:dyDescent="0.3">
      <c r="A16" s="10"/>
      <c r="B16" s="10"/>
      <c r="C16" s="10"/>
      <c r="D16" s="12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6"/>
      <c r="P16" s="6"/>
      <c r="Q16" s="6"/>
      <c r="R16" s="6"/>
      <c r="S16" s="6">
        <f t="shared" si="0"/>
        <v>0</v>
      </c>
      <c r="T16" s="2">
        <f t="shared" ref="T16:U18" si="1">T3</f>
        <v>0</v>
      </c>
      <c r="U16" s="16">
        <f t="shared" si="1"/>
        <v>0</v>
      </c>
      <c r="V16" s="16">
        <f>L29</f>
        <v>0</v>
      </c>
      <c r="W16" s="16">
        <f>V16*5%</f>
        <v>0</v>
      </c>
      <c r="X16" s="16">
        <f>V16+W16</f>
        <v>0</v>
      </c>
      <c r="Y16" s="16">
        <f>U16-X16</f>
        <v>0</v>
      </c>
    </row>
    <row r="17" spans="1:25" x14ac:dyDescent="0.3">
      <c r="A17" s="10"/>
      <c r="B17" s="10"/>
      <c r="C17" s="10"/>
      <c r="D17" s="12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7"/>
      <c r="P17" s="6"/>
      <c r="Q17" s="6"/>
      <c r="R17" s="6"/>
      <c r="S17" s="6">
        <f t="shared" si="0"/>
        <v>0</v>
      </c>
      <c r="T17" s="2" t="str">
        <f t="shared" si="1"/>
        <v>LFM(RGL)</v>
      </c>
      <c r="U17" s="16">
        <f t="shared" si="1"/>
        <v>80000</v>
      </c>
      <c r="V17" s="16">
        <f>M29</f>
        <v>0</v>
      </c>
      <c r="W17" s="16">
        <f t="shared" ref="W17:W21" si="2">V17*5%</f>
        <v>0</v>
      </c>
      <c r="X17" s="16">
        <f t="shared" ref="X17:X21" si="3">V17+W17</f>
        <v>0</v>
      </c>
      <c r="Y17" s="16">
        <f t="shared" ref="Y17:Y21" si="4">U17-X17</f>
        <v>80000</v>
      </c>
    </row>
    <row r="18" spans="1:25" x14ac:dyDescent="0.3">
      <c r="A18" s="10"/>
      <c r="B18" s="10"/>
      <c r="C18" s="10"/>
      <c r="D18" s="12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7"/>
      <c r="P18" s="17"/>
      <c r="Q18" s="6"/>
      <c r="R18" s="6"/>
      <c r="S18" s="6">
        <f t="shared" si="0"/>
        <v>0</v>
      </c>
      <c r="T18" s="2" t="str">
        <f t="shared" si="1"/>
        <v>FD</v>
      </c>
      <c r="U18" s="16">
        <f t="shared" si="1"/>
        <v>30000</v>
      </c>
      <c r="V18" s="16">
        <f>N29</f>
        <v>0</v>
      </c>
      <c r="W18" s="16">
        <f t="shared" si="2"/>
        <v>0</v>
      </c>
      <c r="X18" s="16">
        <f t="shared" si="3"/>
        <v>0</v>
      </c>
      <c r="Y18" s="16">
        <f t="shared" si="4"/>
        <v>30000</v>
      </c>
    </row>
    <row r="19" spans="1:25" x14ac:dyDescent="0.3">
      <c r="A19" s="10"/>
      <c r="B19" s="10"/>
      <c r="C19" s="10"/>
      <c r="D19" s="12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6"/>
      <c r="P19" s="17"/>
      <c r="Q19" s="6"/>
      <c r="R19" s="6"/>
      <c r="S19" s="6">
        <f t="shared" si="0"/>
        <v>0</v>
      </c>
      <c r="T19" s="2" t="str">
        <f t="shared" ref="T19:U21" si="5">T6</f>
        <v>G.M (RGL)</v>
      </c>
      <c r="U19" s="16">
        <f t="shared" si="5"/>
        <v>20000</v>
      </c>
      <c r="V19" s="16">
        <f>O29</f>
        <v>12500</v>
      </c>
      <c r="W19" s="16">
        <f t="shared" si="2"/>
        <v>625</v>
      </c>
      <c r="X19" s="16">
        <f t="shared" si="3"/>
        <v>13125</v>
      </c>
      <c r="Y19" s="16">
        <f t="shared" si="4"/>
        <v>6875</v>
      </c>
    </row>
    <row r="20" spans="1:25" x14ac:dyDescent="0.3">
      <c r="A20" s="10"/>
      <c r="B20" s="10"/>
      <c r="C20" s="10"/>
      <c r="D20" s="12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6"/>
      <c r="Q20" s="6"/>
      <c r="R20" s="6"/>
      <c r="S20" s="6">
        <f t="shared" si="0"/>
        <v>0</v>
      </c>
      <c r="T20" s="2" t="str">
        <f t="shared" si="5"/>
        <v>G.M (Regular)</v>
      </c>
      <c r="U20" s="16">
        <f t="shared" si="5"/>
        <v>10000</v>
      </c>
      <c r="V20" s="16">
        <f>P29</f>
        <v>0</v>
      </c>
      <c r="W20" s="16"/>
      <c r="X20" s="16">
        <f t="shared" si="3"/>
        <v>0</v>
      </c>
      <c r="Y20" s="16">
        <f t="shared" si="4"/>
        <v>10000</v>
      </c>
    </row>
    <row r="21" spans="1:25" x14ac:dyDescent="0.3">
      <c r="A21" s="14"/>
      <c r="B21" s="15"/>
      <c r="C21" s="14"/>
      <c r="D21" s="18"/>
      <c r="E21" s="14"/>
      <c r="F21" s="14"/>
      <c r="G21" s="14"/>
      <c r="H21" s="14"/>
      <c r="I21" s="14"/>
      <c r="J21" s="14"/>
      <c r="K21" s="14"/>
      <c r="L21" s="14"/>
      <c r="M21" s="19"/>
      <c r="N21" s="19"/>
      <c r="O21" s="16"/>
      <c r="P21" s="16"/>
      <c r="Q21" s="16"/>
      <c r="R21" s="16"/>
      <c r="S21" s="1">
        <f t="shared" si="0"/>
        <v>0</v>
      </c>
      <c r="T21" s="2">
        <f t="shared" si="5"/>
        <v>0</v>
      </c>
      <c r="U21" s="16">
        <f t="shared" si="5"/>
        <v>0</v>
      </c>
      <c r="V21" s="16">
        <f>R29</f>
        <v>0</v>
      </c>
      <c r="W21" s="16">
        <f t="shared" si="2"/>
        <v>0</v>
      </c>
      <c r="X21" s="16">
        <f t="shared" si="3"/>
        <v>0</v>
      </c>
      <c r="Y21" s="16">
        <f t="shared" si="4"/>
        <v>0</v>
      </c>
    </row>
    <row r="22" spans="1:25" x14ac:dyDescent="0.3">
      <c r="A22" s="14"/>
      <c r="B22" s="15"/>
      <c r="C22" s="14"/>
      <c r="D22" s="18"/>
      <c r="E22" s="14"/>
      <c r="F22" s="14"/>
      <c r="G22" s="14"/>
      <c r="H22" s="14"/>
      <c r="I22" s="14"/>
      <c r="J22" s="14"/>
      <c r="K22" s="14"/>
      <c r="L22" s="14"/>
      <c r="M22" s="1"/>
      <c r="N22" s="1"/>
      <c r="O22" s="1"/>
      <c r="P22" s="1"/>
      <c r="Q22" s="1"/>
      <c r="R22" s="1"/>
      <c r="S22" s="1">
        <f t="shared" si="0"/>
        <v>0</v>
      </c>
      <c r="T22" s="8" t="s">
        <v>9</v>
      </c>
      <c r="U22" s="3">
        <f>SUM(U16:U21)</f>
        <v>140000</v>
      </c>
      <c r="V22" s="16">
        <f>SUM(V16:V21)</f>
        <v>12500</v>
      </c>
      <c r="W22" s="16">
        <f>SUM(W16:W21)</f>
        <v>625</v>
      </c>
      <c r="X22" s="16">
        <f>SUM(X16:X21)</f>
        <v>13125</v>
      </c>
      <c r="Y22" s="3">
        <f>SUM(Y16:Y21)</f>
        <v>126875</v>
      </c>
    </row>
    <row r="23" spans="1:25" x14ac:dyDescent="0.3">
      <c r="A23" s="14"/>
      <c r="B23" s="15"/>
      <c r="C23" s="14"/>
      <c r="D23" s="18"/>
      <c r="E23" s="14"/>
      <c r="F23" s="14"/>
      <c r="G23" s="14"/>
      <c r="H23" s="14"/>
      <c r="I23" s="14"/>
      <c r="J23" s="14"/>
      <c r="K23" s="14"/>
      <c r="L23" s="14"/>
      <c r="M23" s="20"/>
      <c r="N23" s="20"/>
      <c r="O23" s="20"/>
      <c r="P23" s="20"/>
      <c r="Q23" s="20"/>
      <c r="R23" s="20"/>
      <c r="S23" s="1">
        <f t="shared" si="0"/>
        <v>0</v>
      </c>
      <c r="T23" s="1"/>
      <c r="U23" s="1"/>
      <c r="V23" s="1"/>
      <c r="W23" s="1"/>
      <c r="X23" s="1"/>
      <c r="Y23" s="1"/>
    </row>
    <row r="24" spans="1:25" x14ac:dyDescent="0.3">
      <c r="A24" s="14"/>
      <c r="B24" s="15"/>
      <c r="C24" s="14"/>
      <c r="D24" s="18"/>
      <c r="E24" s="14"/>
      <c r="F24" s="14"/>
      <c r="G24" s="14"/>
      <c r="H24" s="14"/>
      <c r="I24" s="14"/>
      <c r="J24" s="14"/>
      <c r="K24" s="14"/>
      <c r="L24" s="14"/>
      <c r="M24" s="14"/>
      <c r="N24" s="1"/>
      <c r="O24" s="1"/>
      <c r="P24" s="1"/>
      <c r="Q24" s="1"/>
      <c r="R24" s="1"/>
      <c r="S24" s="1">
        <f t="shared" si="0"/>
        <v>0</v>
      </c>
      <c r="T24" s="1"/>
      <c r="U24" s="1"/>
      <c r="V24" s="1"/>
      <c r="W24" s="1"/>
      <c r="X24" s="1"/>
      <c r="Y24" s="1"/>
    </row>
    <row r="25" spans="1:25" x14ac:dyDescent="0.3">
      <c r="A25" s="14"/>
      <c r="B25" s="15"/>
      <c r="C25" s="14"/>
      <c r="D25" s="18"/>
      <c r="E25" s="14"/>
      <c r="F25" s="14"/>
      <c r="G25" s="14"/>
      <c r="H25" s="14"/>
      <c r="I25" s="14"/>
      <c r="J25" s="14"/>
      <c r="K25" s="14"/>
      <c r="L25" s="14"/>
      <c r="M25" s="1"/>
      <c r="N25" s="14"/>
      <c r="O25" s="1"/>
      <c r="P25" s="1"/>
      <c r="Q25" s="1"/>
      <c r="R25" s="1"/>
      <c r="S25" s="1">
        <f t="shared" si="0"/>
        <v>0</v>
      </c>
      <c r="T25" s="1"/>
      <c r="U25" s="1"/>
      <c r="V25" s="1"/>
      <c r="W25" s="1"/>
      <c r="X25" s="1"/>
      <c r="Y25" s="1"/>
    </row>
    <row r="26" spans="1:25" x14ac:dyDescent="0.3">
      <c r="A26" s="14"/>
      <c r="B26" s="15"/>
      <c r="C26" s="14"/>
      <c r="D26" s="18"/>
      <c r="E26" s="14"/>
      <c r="F26" s="14"/>
      <c r="G26" s="14"/>
      <c r="H26" s="14"/>
      <c r="I26" s="14"/>
      <c r="J26" s="14"/>
      <c r="K26" s="14"/>
      <c r="L26" s="14"/>
      <c r="M26" s="1"/>
      <c r="N26" s="14"/>
      <c r="O26" s="1"/>
      <c r="P26" s="14"/>
      <c r="Q26" s="1"/>
      <c r="R26" s="1"/>
      <c r="S26" s="1">
        <f t="shared" si="0"/>
        <v>0</v>
      </c>
      <c r="T26" s="1"/>
      <c r="U26" s="1"/>
      <c r="V26" s="1"/>
      <c r="W26" s="1"/>
      <c r="X26" s="1"/>
      <c r="Y26" s="1"/>
    </row>
    <row r="27" spans="1:25" x14ac:dyDescent="0.3">
      <c r="A27" s="14"/>
      <c r="B27" s="15"/>
      <c r="C27" s="14"/>
      <c r="D27" s="18"/>
      <c r="E27" s="14"/>
      <c r="F27" s="14"/>
      <c r="G27" s="14"/>
      <c r="H27" s="14"/>
      <c r="I27" s="14"/>
      <c r="J27" s="14"/>
      <c r="K27" s="14"/>
      <c r="L27" s="14"/>
      <c r="M27" s="1"/>
      <c r="N27" s="1"/>
      <c r="O27" s="1"/>
      <c r="P27" s="14"/>
      <c r="Q27" s="1"/>
      <c r="R27" s="1"/>
      <c r="S27" s="1">
        <f t="shared" si="0"/>
        <v>0</v>
      </c>
      <c r="T27" s="1"/>
      <c r="U27" s="1"/>
      <c r="V27" s="1"/>
      <c r="W27" s="1"/>
      <c r="X27" s="1"/>
      <c r="Y27" s="1"/>
    </row>
    <row r="28" spans="1:25" x14ac:dyDescent="0.3">
      <c r="A28" s="14"/>
      <c r="B28" s="15"/>
      <c r="C28" s="14"/>
      <c r="D28" s="18"/>
      <c r="E28" s="14"/>
      <c r="F28" s="14"/>
      <c r="G28" s="14"/>
      <c r="H28" s="14"/>
      <c r="I28" s="14"/>
      <c r="J28" s="14"/>
      <c r="K28" s="14"/>
      <c r="L28" s="1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3">
        <f>SUM(L12:L27)</f>
        <v>0</v>
      </c>
      <c r="M29" s="3">
        <f>SUM(M12:M27)</f>
        <v>0</v>
      </c>
      <c r="N29" s="3">
        <f t="shared" ref="N29:R29" si="6">SUM(N12:N27)</f>
        <v>0</v>
      </c>
      <c r="O29" s="3">
        <f t="shared" si="6"/>
        <v>12500</v>
      </c>
      <c r="P29" s="3">
        <f t="shared" si="6"/>
        <v>0</v>
      </c>
      <c r="Q29" s="3">
        <f t="shared" si="6"/>
        <v>0</v>
      </c>
      <c r="R29" s="3">
        <f t="shared" si="6"/>
        <v>0</v>
      </c>
      <c r="S29" s="3">
        <f>SUM(S12:S27)</f>
        <v>12500</v>
      </c>
      <c r="T29" s="1"/>
      <c r="U29" s="1"/>
      <c r="V29" s="1"/>
      <c r="W29" s="1"/>
      <c r="X29" s="1"/>
      <c r="Y29" s="1"/>
    </row>
  </sheetData>
  <mergeCells count="16">
    <mergeCell ref="V10:W10"/>
    <mergeCell ref="A6:B6"/>
    <mergeCell ref="F6:H6"/>
    <mergeCell ref="M6:N6"/>
    <mergeCell ref="A7:C7"/>
    <mergeCell ref="D7:F9"/>
    <mergeCell ref="D10:D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D198A-D041-4366-A33B-3E1E62691B1D}">
  <dimension ref="A3:Y29"/>
  <sheetViews>
    <sheetView workbookViewId="0">
      <selection activeCell="E17" sqref="E17"/>
    </sheetView>
  </sheetViews>
  <sheetFormatPr defaultRowHeight="14.4" x14ac:dyDescent="0.3"/>
  <cols>
    <col min="1" max="1" width="6.33203125" customWidth="1"/>
    <col min="7" max="7" width="6.88671875" customWidth="1"/>
    <col min="11" max="11" width="7.5546875" customWidth="1"/>
    <col min="12" max="12" width="8.21875" customWidth="1"/>
    <col min="13" max="13" width="8" customWidth="1"/>
    <col min="14" max="14" width="9.109375" customWidth="1"/>
    <col min="15" max="15" width="7.21875" customWidth="1"/>
    <col min="16" max="16" width="5.21875" customWidth="1"/>
    <col min="17" max="17" width="7.21875" customWidth="1"/>
    <col min="18" max="18" width="2.5546875" customWidth="1"/>
    <col min="20" max="20" width="12.6640625" customWidth="1"/>
    <col min="23" max="23" width="7.5546875" customWidth="1"/>
  </cols>
  <sheetData>
    <row r="3" spans="1:2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2"/>
      <c r="T3" s="2" t="s">
        <v>25</v>
      </c>
      <c r="U3" s="2">
        <v>180000</v>
      </c>
      <c r="V3" s="3"/>
      <c r="W3" s="1"/>
      <c r="X3" s="1"/>
      <c r="Y3" s="1"/>
    </row>
    <row r="4" spans="1:2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/>
      <c r="U4" s="2"/>
      <c r="V4" s="3"/>
      <c r="W4" s="1"/>
      <c r="X4" s="1"/>
      <c r="Y4" s="1"/>
    </row>
    <row r="5" spans="1:25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2"/>
      <c r="T5" s="2" t="s">
        <v>36</v>
      </c>
      <c r="U5" s="2">
        <v>36000</v>
      </c>
      <c r="V5" s="1"/>
      <c r="W5" s="1"/>
      <c r="X5" s="1"/>
      <c r="Y5" s="1"/>
    </row>
    <row r="6" spans="1:25" ht="18" x14ac:dyDescent="0.35">
      <c r="A6" s="32">
        <v>4800110294</v>
      </c>
      <c r="B6" s="33"/>
      <c r="C6" s="4"/>
      <c r="D6" s="2"/>
      <c r="E6" s="2" t="s">
        <v>0</v>
      </c>
      <c r="F6" s="29" t="s">
        <v>24</v>
      </c>
      <c r="G6" s="29"/>
      <c r="H6" s="29"/>
      <c r="I6" s="21" t="s">
        <v>2</v>
      </c>
      <c r="J6" s="21" t="s">
        <v>3</v>
      </c>
      <c r="K6" s="21"/>
      <c r="L6" s="2" t="s">
        <v>1</v>
      </c>
      <c r="M6" s="34"/>
      <c r="N6" s="34"/>
      <c r="O6" s="2"/>
      <c r="P6" s="2"/>
      <c r="Q6" s="2"/>
      <c r="R6" s="2"/>
      <c r="S6" s="2"/>
      <c r="T6" s="2"/>
      <c r="U6" s="2"/>
      <c r="V6" s="1"/>
      <c r="W6" s="1"/>
      <c r="X6" s="1"/>
      <c r="Y6" s="1"/>
    </row>
    <row r="7" spans="1:25" ht="18" x14ac:dyDescent="0.35">
      <c r="A7" s="35" t="s">
        <v>4</v>
      </c>
      <c r="B7" s="35"/>
      <c r="C7" s="35"/>
      <c r="D7" s="36" t="s">
        <v>5</v>
      </c>
      <c r="E7" s="36"/>
      <c r="F7" s="3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1"/>
      <c r="W7" s="1"/>
      <c r="X7" s="1"/>
      <c r="Y7" s="1"/>
    </row>
    <row r="8" spans="1:25" ht="18" x14ac:dyDescent="0.35">
      <c r="A8" s="5"/>
      <c r="B8" s="5"/>
      <c r="C8" s="5"/>
      <c r="D8" s="36"/>
      <c r="E8" s="36"/>
      <c r="F8" s="3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 t="s">
        <v>37</v>
      </c>
      <c r="U8" s="2">
        <v>115500</v>
      </c>
      <c r="V8" s="1" t="s">
        <v>42</v>
      </c>
      <c r="W8" s="1"/>
      <c r="X8" s="1"/>
      <c r="Y8" s="1"/>
    </row>
    <row r="9" spans="1:25" x14ac:dyDescent="0.3">
      <c r="A9" s="1"/>
      <c r="B9" s="1"/>
      <c r="C9" s="1"/>
      <c r="D9" s="36"/>
      <c r="E9" s="36"/>
      <c r="F9" s="36"/>
      <c r="G9" s="2"/>
      <c r="H9" s="2"/>
      <c r="I9" s="2"/>
      <c r="J9" s="2"/>
      <c r="K9" s="2"/>
      <c r="L9" s="2"/>
      <c r="M9" s="2"/>
      <c r="N9" s="2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6"/>
      <c r="B10" s="6"/>
      <c r="C10" s="6"/>
      <c r="D10" s="27" t="s">
        <v>6</v>
      </c>
      <c r="E10" s="6"/>
      <c r="F10" s="6"/>
      <c r="G10" s="6"/>
      <c r="H10" s="6"/>
      <c r="I10" s="6"/>
      <c r="J10" s="6"/>
      <c r="K10" s="27" t="s">
        <v>7</v>
      </c>
      <c r="L10" s="27" t="str">
        <f>T3</f>
        <v>MFM (RGL)</v>
      </c>
      <c r="M10" s="27">
        <f>T4</f>
        <v>0</v>
      </c>
      <c r="N10" s="27" t="str">
        <f>T5</f>
        <v>FD</v>
      </c>
      <c r="O10" s="27">
        <f>T6</f>
        <v>0</v>
      </c>
      <c r="P10" s="30">
        <f>T7</f>
        <v>0</v>
      </c>
      <c r="Q10" s="30" t="str">
        <f>T8</f>
        <v>BVC</v>
      </c>
      <c r="R10" s="27"/>
      <c r="S10" s="28" t="s">
        <v>8</v>
      </c>
      <c r="T10" s="8" t="s">
        <v>9</v>
      </c>
      <c r="U10" s="3">
        <f>SUM(U3:U9)</f>
        <v>331500</v>
      </c>
      <c r="V10" s="29" t="s">
        <v>10</v>
      </c>
      <c r="W10" s="29"/>
      <c r="X10" s="2">
        <f>U10*18%+U10</f>
        <v>391170</v>
      </c>
      <c r="Y10" s="1"/>
    </row>
    <row r="11" spans="1:25" x14ac:dyDescent="0.3">
      <c r="A11" s="7" t="s">
        <v>11</v>
      </c>
      <c r="B11" s="7" t="s">
        <v>1</v>
      </c>
      <c r="C11" s="7" t="s">
        <v>12</v>
      </c>
      <c r="D11" s="27"/>
      <c r="E11" s="7" t="s">
        <v>13</v>
      </c>
      <c r="F11" s="7" t="s">
        <v>0</v>
      </c>
      <c r="G11" s="7" t="s">
        <v>14</v>
      </c>
      <c r="H11" s="7" t="s">
        <v>15</v>
      </c>
      <c r="I11" s="7" t="s">
        <v>16</v>
      </c>
      <c r="J11" s="7" t="s">
        <v>17</v>
      </c>
      <c r="K11" s="27"/>
      <c r="L11" s="27"/>
      <c r="M11" s="27"/>
      <c r="N11" s="27"/>
      <c r="O11" s="27"/>
      <c r="P11" s="31"/>
      <c r="Q11" s="31"/>
      <c r="R11" s="27"/>
      <c r="S11" s="28"/>
      <c r="T11" s="9"/>
      <c r="U11" s="9"/>
      <c r="V11" s="9"/>
      <c r="W11" s="9"/>
      <c r="X11" s="9"/>
      <c r="Y11" s="9"/>
    </row>
    <row r="12" spans="1:25" x14ac:dyDescent="0.3">
      <c r="A12" s="24">
        <v>45</v>
      </c>
      <c r="B12" s="25">
        <v>46218</v>
      </c>
      <c r="C12" s="24" t="s">
        <v>43</v>
      </c>
      <c r="D12" s="24">
        <v>4800110294</v>
      </c>
      <c r="E12" s="24" t="s">
        <v>4</v>
      </c>
      <c r="F12" s="24" t="s">
        <v>48</v>
      </c>
      <c r="G12" s="24" t="s">
        <v>3</v>
      </c>
      <c r="H12" s="24" t="s">
        <v>49</v>
      </c>
      <c r="I12" s="24" t="s">
        <v>46</v>
      </c>
      <c r="J12" s="24" t="s">
        <v>50</v>
      </c>
      <c r="K12" s="24">
        <v>6</v>
      </c>
      <c r="L12" s="24">
        <v>97160</v>
      </c>
      <c r="M12" s="10"/>
      <c r="N12" s="10"/>
      <c r="O12" s="13"/>
      <c r="P12" s="13"/>
      <c r="Q12" s="13"/>
      <c r="R12" s="6"/>
      <c r="S12" s="6">
        <f>L12+M12+N12+O12+P12+Q12+R12</f>
        <v>97160</v>
      </c>
      <c r="T12" s="1"/>
      <c r="U12" s="1"/>
      <c r="V12" s="1"/>
      <c r="W12" s="1"/>
      <c r="X12" s="1"/>
      <c r="Y12" s="1"/>
    </row>
    <row r="13" spans="1:25" x14ac:dyDescent="0.3">
      <c r="A13" s="24"/>
      <c r="B13" s="25">
        <v>46218</v>
      </c>
      <c r="C13" s="24" t="s">
        <v>43</v>
      </c>
      <c r="D13" s="24">
        <v>4800110294</v>
      </c>
      <c r="E13" s="24" t="s">
        <v>4</v>
      </c>
      <c r="F13" s="24" t="s">
        <v>48</v>
      </c>
      <c r="G13" s="24" t="s">
        <v>3</v>
      </c>
      <c r="H13" s="24" t="s">
        <v>37</v>
      </c>
      <c r="I13" s="24" t="s">
        <v>46</v>
      </c>
      <c r="J13" s="24" t="s">
        <v>50</v>
      </c>
      <c r="K13" s="24">
        <v>33</v>
      </c>
      <c r="L13" s="24"/>
      <c r="M13" s="14"/>
      <c r="N13" s="10"/>
      <c r="O13" s="13"/>
      <c r="P13" s="13"/>
      <c r="Q13" s="13">
        <v>115500</v>
      </c>
      <c r="R13" s="6"/>
      <c r="S13" s="6">
        <f t="shared" ref="S13:S27" si="0">L13+M13+N13+O13+P13+Q13+R13</f>
        <v>115500</v>
      </c>
      <c r="T13" s="1"/>
      <c r="U13" s="1"/>
      <c r="V13" s="1"/>
      <c r="W13" s="1"/>
      <c r="X13" s="1"/>
      <c r="Y13" s="1"/>
    </row>
    <row r="14" spans="1:25" x14ac:dyDescent="0.3">
      <c r="A14" s="13">
        <v>62</v>
      </c>
      <c r="B14" s="26">
        <v>46240</v>
      </c>
      <c r="C14" s="13" t="s">
        <v>43</v>
      </c>
      <c r="D14" s="13">
        <v>4800110294</v>
      </c>
      <c r="E14" s="13" t="s">
        <v>4</v>
      </c>
      <c r="F14" s="13" t="s">
        <v>48</v>
      </c>
      <c r="G14" s="13" t="s">
        <v>3</v>
      </c>
      <c r="H14" s="13" t="s">
        <v>49</v>
      </c>
      <c r="I14" s="13" t="s">
        <v>46</v>
      </c>
      <c r="J14" s="13" t="s">
        <v>53</v>
      </c>
      <c r="K14" s="13">
        <v>10</v>
      </c>
      <c r="L14" s="13">
        <v>41400</v>
      </c>
      <c r="M14" s="10"/>
      <c r="N14" s="10"/>
      <c r="O14" s="13"/>
      <c r="P14" s="13"/>
      <c r="Q14" s="13"/>
      <c r="R14" s="6"/>
      <c r="S14" s="6">
        <f t="shared" si="0"/>
        <v>41400</v>
      </c>
      <c r="T14" s="1"/>
      <c r="U14" s="1"/>
      <c r="V14" s="1"/>
      <c r="W14" s="1"/>
      <c r="X14" s="1"/>
      <c r="Y14" s="1"/>
    </row>
    <row r="15" spans="1:25" x14ac:dyDescent="0.3">
      <c r="A15" s="13"/>
      <c r="B15" s="26">
        <v>46240</v>
      </c>
      <c r="C15" s="13" t="s">
        <v>43</v>
      </c>
      <c r="D15" s="13">
        <v>4800110294</v>
      </c>
      <c r="E15" s="13" t="s">
        <v>4</v>
      </c>
      <c r="F15" s="13" t="s">
        <v>48</v>
      </c>
      <c r="G15" s="13" t="s">
        <v>3</v>
      </c>
      <c r="H15" s="13" t="s">
        <v>49</v>
      </c>
      <c r="I15" s="13" t="s">
        <v>46</v>
      </c>
      <c r="J15" s="13" t="s">
        <v>51</v>
      </c>
      <c r="K15" s="13">
        <v>1</v>
      </c>
      <c r="L15" s="13">
        <v>3450</v>
      </c>
      <c r="M15" s="10"/>
      <c r="N15" s="10"/>
      <c r="O15" s="13"/>
      <c r="P15" s="13"/>
      <c r="Q15" s="13"/>
      <c r="R15" s="6"/>
      <c r="S15" s="6">
        <f t="shared" si="0"/>
        <v>3450</v>
      </c>
      <c r="T15" s="3" t="s">
        <v>18</v>
      </c>
      <c r="U15" s="2" t="s">
        <v>13</v>
      </c>
      <c r="V15" s="2" t="s">
        <v>19</v>
      </c>
      <c r="W15" s="2" t="s">
        <v>20</v>
      </c>
      <c r="X15" s="2" t="s">
        <v>21</v>
      </c>
      <c r="Y15" s="2" t="s">
        <v>22</v>
      </c>
    </row>
    <row r="16" spans="1:25" x14ac:dyDescent="0.3">
      <c r="A16" s="13"/>
      <c r="B16" s="26">
        <v>46240</v>
      </c>
      <c r="C16" s="13" t="s">
        <v>43</v>
      </c>
      <c r="D16" s="13">
        <v>4800110294</v>
      </c>
      <c r="E16" s="13" t="s">
        <v>4</v>
      </c>
      <c r="F16" s="13" t="s">
        <v>48</v>
      </c>
      <c r="G16" s="13" t="s">
        <v>3</v>
      </c>
      <c r="H16" s="13" t="s">
        <v>49</v>
      </c>
      <c r="I16" s="13" t="s">
        <v>46</v>
      </c>
      <c r="J16" s="13" t="s">
        <v>57</v>
      </c>
      <c r="K16" s="13">
        <v>6</v>
      </c>
      <c r="L16" s="13">
        <v>29400</v>
      </c>
      <c r="M16" s="10"/>
      <c r="N16" s="10"/>
      <c r="O16" s="6"/>
      <c r="P16" s="6"/>
      <c r="Q16" s="6"/>
      <c r="R16" s="6"/>
      <c r="S16" s="6">
        <f t="shared" si="0"/>
        <v>29400</v>
      </c>
      <c r="T16" s="2" t="str">
        <f t="shared" ref="T16:U18" si="1">T3</f>
        <v>MFM (RGL)</v>
      </c>
      <c r="U16" s="16">
        <f t="shared" si="1"/>
        <v>180000</v>
      </c>
      <c r="V16" s="16">
        <f>L29</f>
        <v>171410</v>
      </c>
      <c r="W16" s="16">
        <f>V16*5%</f>
        <v>8570.5</v>
      </c>
      <c r="X16" s="16">
        <f>V16+W16</f>
        <v>179980.5</v>
      </c>
      <c r="Y16" s="16">
        <f>U16-X16</f>
        <v>19.5</v>
      </c>
    </row>
    <row r="17" spans="1:25" x14ac:dyDescent="0.3">
      <c r="A17" s="13"/>
      <c r="B17" s="26">
        <v>46240</v>
      </c>
      <c r="C17" s="13" t="s">
        <v>43</v>
      </c>
      <c r="D17" s="13">
        <v>4800110294</v>
      </c>
      <c r="E17" s="13" t="s">
        <v>4</v>
      </c>
      <c r="F17" s="13" t="s">
        <v>48</v>
      </c>
      <c r="G17" s="13" t="s">
        <v>3</v>
      </c>
      <c r="H17" s="13" t="s">
        <v>36</v>
      </c>
      <c r="I17" s="13" t="s">
        <v>46</v>
      </c>
      <c r="J17" s="13" t="s">
        <v>57</v>
      </c>
      <c r="K17" s="13">
        <v>3</v>
      </c>
      <c r="L17" s="13"/>
      <c r="M17" s="10"/>
      <c r="N17" s="13">
        <v>10600</v>
      </c>
      <c r="O17" s="17"/>
      <c r="P17" s="6"/>
      <c r="Q17" s="6"/>
      <c r="R17" s="6"/>
      <c r="S17" s="6">
        <f t="shared" si="0"/>
        <v>10600</v>
      </c>
      <c r="T17" s="2">
        <f t="shared" si="1"/>
        <v>0</v>
      </c>
      <c r="U17" s="16">
        <f t="shared" si="1"/>
        <v>0</v>
      </c>
      <c r="V17" s="16">
        <f>M29</f>
        <v>0</v>
      </c>
      <c r="W17" s="16">
        <f t="shared" ref="W17:W19" si="2">V17*5%</f>
        <v>0</v>
      </c>
      <c r="X17" s="16">
        <f t="shared" ref="X17:X21" si="3">V17+W17</f>
        <v>0</v>
      </c>
      <c r="Y17" s="16">
        <f t="shared" ref="Y17:Y21" si="4">U17-X17</f>
        <v>0</v>
      </c>
    </row>
    <row r="18" spans="1:25" x14ac:dyDescent="0.3">
      <c r="A18" s="13"/>
      <c r="B18" s="26">
        <v>46240</v>
      </c>
      <c r="C18" s="13" t="s">
        <v>43</v>
      </c>
      <c r="D18" s="13">
        <v>4800110294</v>
      </c>
      <c r="E18" s="13" t="s">
        <v>4</v>
      </c>
      <c r="F18" s="13" t="s">
        <v>48</v>
      </c>
      <c r="G18" s="13" t="s">
        <v>3</v>
      </c>
      <c r="H18" s="13" t="s">
        <v>36</v>
      </c>
      <c r="I18" s="13" t="s">
        <v>46</v>
      </c>
      <c r="J18" s="13" t="s">
        <v>53</v>
      </c>
      <c r="K18" s="13">
        <v>2</v>
      </c>
      <c r="L18" s="13"/>
      <c r="M18" s="10"/>
      <c r="N18" s="13">
        <v>3700</v>
      </c>
      <c r="O18" s="17"/>
      <c r="P18" s="17"/>
      <c r="Q18" s="6"/>
      <c r="R18" s="6"/>
      <c r="S18" s="6">
        <f t="shared" si="0"/>
        <v>3700</v>
      </c>
      <c r="T18" s="2" t="str">
        <f t="shared" si="1"/>
        <v>FD</v>
      </c>
      <c r="U18" s="16">
        <f t="shared" si="1"/>
        <v>36000</v>
      </c>
      <c r="V18" s="16">
        <f>N29</f>
        <v>34280</v>
      </c>
      <c r="W18" s="16">
        <f t="shared" si="2"/>
        <v>1714</v>
      </c>
      <c r="X18" s="16">
        <f t="shared" si="3"/>
        <v>35994</v>
      </c>
      <c r="Y18" s="16">
        <f t="shared" si="4"/>
        <v>6</v>
      </c>
    </row>
    <row r="19" spans="1:25" x14ac:dyDescent="0.3">
      <c r="A19" s="13"/>
      <c r="B19" s="26">
        <v>46240</v>
      </c>
      <c r="C19" s="13" t="s">
        <v>43</v>
      </c>
      <c r="D19" s="13">
        <v>4800110294</v>
      </c>
      <c r="E19" s="13" t="s">
        <v>4</v>
      </c>
      <c r="F19" s="13" t="s">
        <v>48</v>
      </c>
      <c r="G19" s="13" t="s">
        <v>3</v>
      </c>
      <c r="H19" s="13" t="s">
        <v>36</v>
      </c>
      <c r="I19" s="13" t="s">
        <v>46</v>
      </c>
      <c r="J19" s="13" t="s">
        <v>58</v>
      </c>
      <c r="K19" s="13">
        <v>4</v>
      </c>
      <c r="L19" s="13"/>
      <c r="M19" s="10"/>
      <c r="N19" s="13">
        <v>5700</v>
      </c>
      <c r="O19" s="6"/>
      <c r="P19" s="17"/>
      <c r="Q19" s="6"/>
      <c r="R19" s="6"/>
      <c r="S19" s="6">
        <f t="shared" si="0"/>
        <v>5700</v>
      </c>
      <c r="T19" s="2">
        <f t="shared" ref="T19:U21" si="5">T6</f>
        <v>0</v>
      </c>
      <c r="U19" s="16">
        <f t="shared" si="5"/>
        <v>0</v>
      </c>
      <c r="V19" s="16">
        <f>O29</f>
        <v>0</v>
      </c>
      <c r="W19" s="16">
        <f t="shared" si="2"/>
        <v>0</v>
      </c>
      <c r="X19" s="16">
        <f t="shared" si="3"/>
        <v>0</v>
      </c>
      <c r="Y19" s="16">
        <f t="shared" si="4"/>
        <v>0</v>
      </c>
    </row>
    <row r="20" spans="1:25" x14ac:dyDescent="0.3">
      <c r="A20" s="13"/>
      <c r="B20" s="26">
        <v>46240</v>
      </c>
      <c r="C20" s="13" t="s">
        <v>43</v>
      </c>
      <c r="D20" s="13">
        <v>4800110294</v>
      </c>
      <c r="E20" s="13" t="s">
        <v>4</v>
      </c>
      <c r="F20" s="13" t="s">
        <v>48</v>
      </c>
      <c r="G20" s="13" t="s">
        <v>3</v>
      </c>
      <c r="H20" s="13" t="s">
        <v>36</v>
      </c>
      <c r="I20" s="13" t="s">
        <v>46</v>
      </c>
      <c r="J20" s="13" t="s">
        <v>59</v>
      </c>
      <c r="K20" s="13">
        <v>2</v>
      </c>
      <c r="L20" s="13"/>
      <c r="M20" s="10"/>
      <c r="N20" s="13">
        <v>5500</v>
      </c>
      <c r="O20" s="10"/>
      <c r="P20" s="6"/>
      <c r="Q20" s="6"/>
      <c r="R20" s="6"/>
      <c r="S20" s="6">
        <f t="shared" si="0"/>
        <v>5500</v>
      </c>
      <c r="T20" s="2">
        <f t="shared" si="5"/>
        <v>0</v>
      </c>
      <c r="U20" s="16">
        <f t="shared" si="5"/>
        <v>0</v>
      </c>
      <c r="V20" s="16">
        <f>P29</f>
        <v>0</v>
      </c>
      <c r="W20" s="16"/>
      <c r="X20" s="16">
        <f t="shared" si="3"/>
        <v>0</v>
      </c>
      <c r="Y20" s="16">
        <f t="shared" si="4"/>
        <v>0</v>
      </c>
    </row>
    <row r="21" spans="1:25" x14ac:dyDescent="0.3">
      <c r="A21" s="14"/>
      <c r="B21" s="15"/>
      <c r="C21" s="14"/>
      <c r="D21" s="18"/>
      <c r="E21" s="14"/>
      <c r="F21" s="14"/>
      <c r="G21" s="14"/>
      <c r="H21" s="14"/>
      <c r="I21" s="14"/>
      <c r="J21" s="14"/>
      <c r="K21" s="14"/>
      <c r="L21" s="14"/>
      <c r="M21" s="19"/>
      <c r="N21" s="19"/>
      <c r="O21" s="16"/>
      <c r="P21" s="16"/>
      <c r="Q21" s="16"/>
      <c r="R21" s="16"/>
      <c r="S21" s="1">
        <f t="shared" si="0"/>
        <v>0</v>
      </c>
      <c r="T21" s="2" t="str">
        <f t="shared" si="5"/>
        <v>BVC</v>
      </c>
      <c r="U21" s="16">
        <f t="shared" si="5"/>
        <v>115500</v>
      </c>
      <c r="V21" s="16">
        <f>Q29</f>
        <v>115500</v>
      </c>
      <c r="W21" s="16"/>
      <c r="X21" s="16">
        <f t="shared" si="3"/>
        <v>115500</v>
      </c>
      <c r="Y21" s="16">
        <f t="shared" si="4"/>
        <v>0</v>
      </c>
    </row>
    <row r="22" spans="1:25" x14ac:dyDescent="0.3">
      <c r="A22" s="14"/>
      <c r="B22" s="15"/>
      <c r="C22" s="14"/>
      <c r="D22" s="18"/>
      <c r="E22" s="14"/>
      <c r="F22" s="14"/>
      <c r="G22" s="14"/>
      <c r="H22" s="14"/>
      <c r="I22" s="14"/>
      <c r="J22" s="14"/>
      <c r="K22" s="14"/>
      <c r="L22" s="14"/>
      <c r="M22" s="1"/>
      <c r="N22" s="1"/>
      <c r="O22" s="1"/>
      <c r="P22" s="1"/>
      <c r="Q22" s="1"/>
      <c r="R22" s="1"/>
      <c r="S22" s="1">
        <f t="shared" si="0"/>
        <v>0</v>
      </c>
      <c r="T22" s="8" t="s">
        <v>9</v>
      </c>
      <c r="U22" s="3">
        <f>SUM(U16:U21)</f>
        <v>331500</v>
      </c>
      <c r="V22" s="16">
        <f>SUM(V16:V21)</f>
        <v>321190</v>
      </c>
      <c r="W22" s="16">
        <f>SUM(W16:W21)</f>
        <v>10284.5</v>
      </c>
      <c r="X22" s="16">
        <f>SUM(X16:X21)</f>
        <v>331474.5</v>
      </c>
      <c r="Y22" s="3">
        <f>SUM(Y16:Y21)</f>
        <v>25.5</v>
      </c>
    </row>
    <row r="23" spans="1:25" x14ac:dyDescent="0.3">
      <c r="A23" s="14"/>
      <c r="B23" s="15"/>
      <c r="C23" s="14"/>
      <c r="D23" s="18"/>
      <c r="E23" s="14"/>
      <c r="F23" s="14"/>
      <c r="G23" s="14"/>
      <c r="H23" s="14"/>
      <c r="I23" s="14"/>
      <c r="J23" s="14"/>
      <c r="K23" s="14"/>
      <c r="L23" s="14"/>
      <c r="M23" s="20"/>
      <c r="N23" s="20"/>
      <c r="O23" s="20"/>
      <c r="P23" s="20"/>
      <c r="Q23" s="20"/>
      <c r="R23" s="20"/>
      <c r="S23" s="1">
        <f t="shared" si="0"/>
        <v>0</v>
      </c>
      <c r="T23" s="1"/>
      <c r="U23" s="1"/>
      <c r="V23" s="1"/>
      <c r="W23" s="1"/>
      <c r="X23" s="1"/>
      <c r="Y23" s="1"/>
    </row>
    <row r="24" spans="1:25" x14ac:dyDescent="0.3">
      <c r="A24" s="14"/>
      <c r="B24" s="15"/>
      <c r="C24" s="14"/>
      <c r="D24" s="18"/>
      <c r="E24" s="14"/>
      <c r="F24" s="14"/>
      <c r="G24" s="14"/>
      <c r="H24" s="14"/>
      <c r="I24" s="14"/>
      <c r="J24" s="14"/>
      <c r="K24" s="14"/>
      <c r="L24" s="14"/>
      <c r="M24" s="14"/>
      <c r="N24" s="1"/>
      <c r="O24" s="1"/>
      <c r="P24" s="1"/>
      <c r="Q24" s="1"/>
      <c r="R24" s="1"/>
      <c r="S24" s="1">
        <f t="shared" si="0"/>
        <v>0</v>
      </c>
      <c r="T24" s="1"/>
      <c r="U24" s="1"/>
      <c r="V24" s="1"/>
      <c r="W24" s="1"/>
      <c r="X24" s="1"/>
      <c r="Y24" s="1"/>
    </row>
    <row r="25" spans="1:25" x14ac:dyDescent="0.3">
      <c r="A25" s="14"/>
      <c r="B25" s="15"/>
      <c r="C25" s="14"/>
      <c r="D25" s="18"/>
      <c r="E25" s="14"/>
      <c r="F25" s="14"/>
      <c r="G25" s="14"/>
      <c r="H25" s="14"/>
      <c r="I25" s="14"/>
      <c r="J25" s="14"/>
      <c r="K25" s="14"/>
      <c r="L25" s="14"/>
      <c r="M25" s="1"/>
      <c r="N25" s="14"/>
      <c r="O25" s="1"/>
      <c r="P25" s="1"/>
      <c r="Q25" s="1"/>
      <c r="R25" s="1"/>
      <c r="S25" s="1">
        <f t="shared" si="0"/>
        <v>0</v>
      </c>
      <c r="T25" s="1"/>
      <c r="U25" s="1"/>
      <c r="V25" s="1"/>
      <c r="W25" s="1"/>
      <c r="X25" s="1"/>
      <c r="Y25" s="1"/>
    </row>
    <row r="26" spans="1:25" x14ac:dyDescent="0.3">
      <c r="A26" s="14"/>
      <c r="B26" s="15"/>
      <c r="C26" s="14"/>
      <c r="D26" s="18"/>
      <c r="E26" s="14"/>
      <c r="F26" s="14"/>
      <c r="G26" s="14"/>
      <c r="H26" s="14"/>
      <c r="I26" s="14"/>
      <c r="J26" s="14"/>
      <c r="K26" s="14"/>
      <c r="L26" s="14"/>
      <c r="M26" s="1"/>
      <c r="N26" s="14">
        <v>8780</v>
      </c>
      <c r="O26" s="1"/>
      <c r="P26" s="14"/>
      <c r="Q26" s="1"/>
      <c r="R26" s="1"/>
      <c r="S26" s="1">
        <f t="shared" si="0"/>
        <v>8780</v>
      </c>
      <c r="T26" s="1"/>
      <c r="U26" s="1"/>
      <c r="V26" s="1"/>
      <c r="W26" s="1"/>
      <c r="X26" s="1"/>
      <c r="Y26" s="1"/>
    </row>
    <row r="27" spans="1:25" x14ac:dyDescent="0.3">
      <c r="A27" s="14"/>
      <c r="B27" s="15"/>
      <c r="C27" s="14"/>
      <c r="D27" s="18"/>
      <c r="E27" s="14"/>
      <c r="F27" s="14"/>
      <c r="G27" s="14"/>
      <c r="H27" s="14"/>
      <c r="I27" s="14"/>
      <c r="J27" s="14"/>
      <c r="K27" s="14"/>
      <c r="L27" s="14"/>
      <c r="M27" s="1"/>
      <c r="N27" s="1"/>
      <c r="O27" s="1"/>
      <c r="P27" s="14"/>
      <c r="Q27" s="1"/>
      <c r="R27" s="1"/>
      <c r="S27" s="1">
        <f t="shared" si="0"/>
        <v>0</v>
      </c>
      <c r="T27" s="1"/>
      <c r="U27" s="1"/>
      <c r="V27" s="1"/>
      <c r="W27" s="1"/>
      <c r="X27" s="1"/>
      <c r="Y27" s="1"/>
    </row>
    <row r="28" spans="1:25" x14ac:dyDescent="0.3">
      <c r="A28" s="14"/>
      <c r="B28" s="15"/>
      <c r="C28" s="14"/>
      <c r="D28" s="18"/>
      <c r="E28" s="14"/>
      <c r="F28" s="14"/>
      <c r="G28" s="14"/>
      <c r="H28" s="14"/>
      <c r="I28" s="14"/>
      <c r="J28" s="14"/>
      <c r="K28" s="14"/>
      <c r="L28" s="1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3">
        <f>SUM(L12:L27)</f>
        <v>171410</v>
      </c>
      <c r="M29" s="3">
        <f>SUM(M12:M27)</f>
        <v>0</v>
      </c>
      <c r="N29" s="3">
        <f t="shared" ref="N29:R29" si="6">SUM(N12:N27)</f>
        <v>34280</v>
      </c>
      <c r="O29" s="3">
        <f t="shared" si="6"/>
        <v>0</v>
      </c>
      <c r="P29" s="3">
        <f t="shared" si="6"/>
        <v>0</v>
      </c>
      <c r="Q29" s="3">
        <f t="shared" si="6"/>
        <v>115500</v>
      </c>
      <c r="R29" s="3">
        <f t="shared" si="6"/>
        <v>0</v>
      </c>
      <c r="S29" s="3">
        <f>SUM(S12:S27)</f>
        <v>321190</v>
      </c>
      <c r="T29" s="1"/>
      <c r="U29" s="1"/>
      <c r="V29" s="1"/>
      <c r="W29" s="1"/>
      <c r="X29" s="1"/>
      <c r="Y29" s="1"/>
    </row>
  </sheetData>
  <mergeCells count="16">
    <mergeCell ref="V10:W10"/>
    <mergeCell ref="A6:B6"/>
    <mergeCell ref="F6:H6"/>
    <mergeCell ref="M6:N6"/>
    <mergeCell ref="A7:C7"/>
    <mergeCell ref="D7:F9"/>
    <mergeCell ref="D10:D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7E0BF-9D79-459A-B9CA-DFD47390D734}">
  <dimension ref="A3:Y29"/>
  <sheetViews>
    <sheetView workbookViewId="0">
      <selection activeCell="J24" sqref="J24:O25"/>
    </sheetView>
  </sheetViews>
  <sheetFormatPr defaultRowHeight="14.4" x14ac:dyDescent="0.3"/>
  <cols>
    <col min="1" max="1" width="6.33203125" customWidth="1"/>
    <col min="7" max="7" width="6.88671875" customWidth="1"/>
    <col min="11" max="11" width="7.5546875" customWidth="1"/>
    <col min="12" max="12" width="8.21875" customWidth="1"/>
    <col min="13" max="13" width="8" customWidth="1"/>
    <col min="14" max="14" width="9.109375" customWidth="1"/>
    <col min="15" max="15" width="7.21875" customWidth="1"/>
    <col min="16" max="16" width="7.44140625" customWidth="1"/>
    <col min="17" max="17" width="7.21875" customWidth="1"/>
    <col min="18" max="18" width="2.5546875" customWidth="1"/>
    <col min="20" max="20" width="12.6640625" customWidth="1"/>
    <col min="23" max="23" width="7.5546875" customWidth="1"/>
  </cols>
  <sheetData>
    <row r="3" spans="1:2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2"/>
      <c r="T3" s="2" t="s">
        <v>25</v>
      </c>
      <c r="U3" s="2">
        <v>75000</v>
      </c>
      <c r="V3" s="3"/>
      <c r="W3" s="1"/>
      <c r="X3" s="1"/>
      <c r="Y3" s="1"/>
    </row>
    <row r="4" spans="1:2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 t="s">
        <v>34</v>
      </c>
      <c r="U4" s="2">
        <v>80000</v>
      </c>
      <c r="V4" s="3"/>
      <c r="W4" s="1"/>
      <c r="X4" s="1"/>
      <c r="Y4" s="1"/>
    </row>
    <row r="5" spans="1:25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2"/>
      <c r="T5" s="2" t="s">
        <v>36</v>
      </c>
      <c r="U5" s="2">
        <v>60000</v>
      </c>
      <c r="V5" s="1"/>
      <c r="W5" s="1"/>
      <c r="X5" s="1"/>
      <c r="Y5" s="1"/>
    </row>
    <row r="6" spans="1:25" ht="18" x14ac:dyDescent="0.35">
      <c r="A6" s="32">
        <v>4800108589</v>
      </c>
      <c r="B6" s="33"/>
      <c r="C6" s="4"/>
      <c r="D6" s="2"/>
      <c r="E6" s="2" t="s">
        <v>0</v>
      </c>
      <c r="F6" s="29" t="s">
        <v>40</v>
      </c>
      <c r="G6" s="29"/>
      <c r="H6" s="29"/>
      <c r="I6" s="21" t="s">
        <v>2</v>
      </c>
      <c r="J6" s="21" t="s">
        <v>41</v>
      </c>
      <c r="K6" s="21"/>
      <c r="L6" s="2" t="s">
        <v>1</v>
      </c>
      <c r="M6" s="34">
        <v>46199</v>
      </c>
      <c r="N6" s="34"/>
      <c r="O6" s="2"/>
      <c r="P6" s="2"/>
      <c r="Q6" s="2"/>
      <c r="R6" s="2"/>
      <c r="S6" s="2"/>
      <c r="T6" s="2" t="s">
        <v>28</v>
      </c>
      <c r="U6" s="2">
        <v>60000</v>
      </c>
      <c r="V6" s="1"/>
      <c r="W6" s="1"/>
      <c r="X6" s="1"/>
      <c r="Y6" s="1"/>
    </row>
    <row r="7" spans="1:25" ht="18" x14ac:dyDescent="0.35">
      <c r="A7" s="35" t="s">
        <v>23</v>
      </c>
      <c r="B7" s="35"/>
      <c r="C7" s="35"/>
      <c r="D7" s="36" t="s">
        <v>5</v>
      </c>
      <c r="E7" s="36"/>
      <c r="F7" s="3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 t="s">
        <v>29</v>
      </c>
      <c r="U7" s="2">
        <v>50000</v>
      </c>
      <c r="V7" s="1"/>
      <c r="W7" s="1"/>
      <c r="X7" s="1"/>
      <c r="Y7" s="1"/>
    </row>
    <row r="8" spans="1:25" ht="18" x14ac:dyDescent="0.35">
      <c r="A8" s="5"/>
      <c r="B8" s="5"/>
      <c r="C8" s="5"/>
      <c r="D8" s="36"/>
      <c r="E8" s="36"/>
      <c r="F8" s="3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 t="s">
        <v>37</v>
      </c>
      <c r="U8" s="2">
        <v>210000</v>
      </c>
      <c r="V8" s="1" t="s">
        <v>38</v>
      </c>
      <c r="W8" s="1"/>
      <c r="X8" s="1"/>
      <c r="Y8" s="1"/>
    </row>
    <row r="9" spans="1:25" x14ac:dyDescent="0.3">
      <c r="A9" s="1"/>
      <c r="B9" s="1"/>
      <c r="C9" s="1"/>
      <c r="D9" s="36"/>
      <c r="E9" s="36"/>
      <c r="F9" s="36"/>
      <c r="G9" s="2"/>
      <c r="H9" s="2"/>
      <c r="I9" s="2"/>
      <c r="J9" s="2"/>
      <c r="K9" s="2"/>
      <c r="L9" s="2"/>
      <c r="M9" s="2"/>
      <c r="N9" s="2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6"/>
      <c r="B10" s="6"/>
      <c r="C10" s="6"/>
      <c r="D10" s="27" t="s">
        <v>6</v>
      </c>
      <c r="E10" s="6"/>
      <c r="F10" s="6"/>
      <c r="G10" s="6"/>
      <c r="H10" s="6"/>
      <c r="I10" s="6"/>
      <c r="J10" s="6"/>
      <c r="K10" s="27" t="s">
        <v>7</v>
      </c>
      <c r="L10" s="27" t="str">
        <f>T3</f>
        <v>MFM (RGL)</v>
      </c>
      <c r="M10" s="27" t="str">
        <f>T4</f>
        <v>LFM(RGL)</v>
      </c>
      <c r="N10" s="27" t="str">
        <f>T5</f>
        <v>FD</v>
      </c>
      <c r="O10" s="27" t="str">
        <f>T6</f>
        <v>G.M (RGL)</v>
      </c>
      <c r="P10" s="30" t="str">
        <f>T7</f>
        <v>G.M (Regular)</v>
      </c>
      <c r="Q10" s="30" t="str">
        <f>T8</f>
        <v>BVC</v>
      </c>
      <c r="R10" s="27"/>
      <c r="S10" s="28" t="s">
        <v>8</v>
      </c>
      <c r="T10" s="8" t="s">
        <v>9</v>
      </c>
      <c r="U10" s="8">
        <f>SUM(U3:U9)</f>
        <v>535000</v>
      </c>
      <c r="V10" s="29" t="s">
        <v>10</v>
      </c>
      <c r="W10" s="29"/>
      <c r="X10" s="2">
        <f>U10*18%+U10</f>
        <v>631300</v>
      </c>
      <c r="Y10" s="1"/>
    </row>
    <row r="11" spans="1:25" x14ac:dyDescent="0.3">
      <c r="A11" s="7" t="s">
        <v>11</v>
      </c>
      <c r="B11" s="7" t="s">
        <v>1</v>
      </c>
      <c r="C11" s="7" t="s">
        <v>12</v>
      </c>
      <c r="D11" s="27"/>
      <c r="E11" s="7" t="s">
        <v>13</v>
      </c>
      <c r="F11" s="7" t="s">
        <v>0</v>
      </c>
      <c r="G11" s="7" t="s">
        <v>14</v>
      </c>
      <c r="H11" s="7" t="s">
        <v>15</v>
      </c>
      <c r="I11" s="7" t="s">
        <v>16</v>
      </c>
      <c r="J11" s="7" t="s">
        <v>17</v>
      </c>
      <c r="K11" s="27"/>
      <c r="L11" s="27"/>
      <c r="M11" s="27"/>
      <c r="N11" s="27"/>
      <c r="O11" s="27"/>
      <c r="P11" s="31"/>
      <c r="Q11" s="31"/>
      <c r="R11" s="27"/>
      <c r="S11" s="28"/>
      <c r="T11" s="9"/>
      <c r="U11" s="9"/>
      <c r="V11" s="9"/>
      <c r="W11" s="9"/>
      <c r="X11" s="9"/>
      <c r="Y11" s="9"/>
    </row>
    <row r="12" spans="1:25" x14ac:dyDescent="0.3">
      <c r="A12" s="22">
        <v>37</v>
      </c>
      <c r="B12" s="23">
        <v>46204</v>
      </c>
      <c r="C12" s="22" t="s">
        <v>43</v>
      </c>
      <c r="D12" s="22">
        <v>4800108589</v>
      </c>
      <c r="E12" s="22" t="s">
        <v>23</v>
      </c>
      <c r="F12" s="22" t="s">
        <v>44</v>
      </c>
      <c r="G12" s="22" t="s">
        <v>45</v>
      </c>
      <c r="H12" s="22" t="s">
        <v>37</v>
      </c>
      <c r="I12" s="22" t="s">
        <v>46</v>
      </c>
      <c r="J12" s="22" t="s">
        <v>47</v>
      </c>
      <c r="K12" s="22">
        <v>30</v>
      </c>
      <c r="L12" s="22"/>
      <c r="M12" s="10"/>
      <c r="N12" s="10"/>
      <c r="O12" s="13"/>
      <c r="P12" s="13"/>
      <c r="Q12" s="22">
        <v>105000</v>
      </c>
      <c r="R12" s="6"/>
      <c r="S12" s="6">
        <f>L12+M12+N12+O12+P12+Q12+R12</f>
        <v>105000</v>
      </c>
      <c r="T12" s="1"/>
      <c r="U12" s="1"/>
      <c r="V12" s="1"/>
      <c r="W12" s="1"/>
      <c r="X12" s="1"/>
      <c r="Y12" s="1"/>
    </row>
    <row r="13" spans="1:25" x14ac:dyDescent="0.3">
      <c r="A13" s="22">
        <v>40</v>
      </c>
      <c r="B13" s="23">
        <v>46204</v>
      </c>
      <c r="C13" s="22" t="s">
        <v>43</v>
      </c>
      <c r="D13" s="22">
        <v>4800108589</v>
      </c>
      <c r="E13" s="22" t="s">
        <v>23</v>
      </c>
      <c r="F13" s="22" t="s">
        <v>44</v>
      </c>
      <c r="G13" s="22" t="s">
        <v>45</v>
      </c>
      <c r="H13" s="22" t="s">
        <v>37</v>
      </c>
      <c r="I13" s="22" t="s">
        <v>46</v>
      </c>
      <c r="J13" s="22" t="s">
        <v>47</v>
      </c>
      <c r="K13" s="22">
        <v>30</v>
      </c>
      <c r="L13" s="22"/>
      <c r="M13" s="14"/>
      <c r="N13" s="10"/>
      <c r="O13" s="13"/>
      <c r="P13" s="13"/>
      <c r="Q13" s="22">
        <v>105000</v>
      </c>
      <c r="R13" s="6"/>
      <c r="S13" s="6">
        <f t="shared" ref="S13:S27" si="0">L13+M13+N13+O13+P13+Q13+R13</f>
        <v>105000</v>
      </c>
      <c r="T13" s="1"/>
      <c r="U13" s="1"/>
      <c r="V13" s="1"/>
      <c r="W13" s="1"/>
      <c r="X13" s="1"/>
      <c r="Y13" s="1"/>
    </row>
    <row r="14" spans="1:25" x14ac:dyDescent="0.3">
      <c r="A14" s="13">
        <v>47</v>
      </c>
      <c r="B14" s="26">
        <v>46226</v>
      </c>
      <c r="C14" s="13" t="s">
        <v>43</v>
      </c>
      <c r="D14" s="13">
        <v>4800108589</v>
      </c>
      <c r="E14" s="13" t="s">
        <v>23</v>
      </c>
      <c r="F14" s="13" t="s">
        <v>44</v>
      </c>
      <c r="G14" s="13" t="s">
        <v>54</v>
      </c>
      <c r="H14" s="13" t="s">
        <v>36</v>
      </c>
      <c r="I14" s="13" t="s">
        <v>46</v>
      </c>
      <c r="J14" s="13" t="s">
        <v>55</v>
      </c>
      <c r="K14" s="13">
        <v>6</v>
      </c>
      <c r="L14" s="13"/>
      <c r="M14" s="10"/>
      <c r="N14" s="13">
        <v>3800</v>
      </c>
      <c r="O14" s="13"/>
      <c r="P14" s="13"/>
      <c r="Q14" s="13"/>
      <c r="R14" s="6"/>
      <c r="S14" s="6">
        <f t="shared" si="0"/>
        <v>3800</v>
      </c>
      <c r="T14" s="1"/>
      <c r="U14" s="1"/>
      <c r="V14" s="1"/>
      <c r="W14" s="1"/>
      <c r="X14" s="1"/>
      <c r="Y14" s="1"/>
    </row>
    <row r="15" spans="1:25" x14ac:dyDescent="0.3">
      <c r="A15" s="13"/>
      <c r="B15" s="26">
        <v>46226</v>
      </c>
      <c r="C15" s="13" t="s">
        <v>43</v>
      </c>
      <c r="D15" s="13">
        <v>4800108589</v>
      </c>
      <c r="E15" s="13" t="s">
        <v>23</v>
      </c>
      <c r="F15" s="13" t="s">
        <v>44</v>
      </c>
      <c r="G15" s="13" t="s">
        <v>54</v>
      </c>
      <c r="H15" s="13" t="s">
        <v>36</v>
      </c>
      <c r="I15" s="13" t="s">
        <v>46</v>
      </c>
      <c r="J15" s="13" t="s">
        <v>47</v>
      </c>
      <c r="K15" s="13">
        <v>3</v>
      </c>
      <c r="L15" s="13"/>
      <c r="M15" s="10"/>
      <c r="N15" s="13">
        <v>1200</v>
      </c>
      <c r="O15" s="13"/>
      <c r="P15" s="13"/>
      <c r="Q15" s="13"/>
      <c r="R15" s="6"/>
      <c r="S15" s="6">
        <f t="shared" si="0"/>
        <v>1200</v>
      </c>
      <c r="T15" s="3" t="s">
        <v>18</v>
      </c>
      <c r="U15" s="2" t="s">
        <v>13</v>
      </c>
      <c r="V15" s="2" t="s">
        <v>19</v>
      </c>
      <c r="W15" s="2" t="s">
        <v>20</v>
      </c>
      <c r="X15" s="2" t="s">
        <v>21</v>
      </c>
      <c r="Y15" s="2" t="s">
        <v>22</v>
      </c>
    </row>
    <row r="16" spans="1:25" x14ac:dyDescent="0.3">
      <c r="A16" s="13"/>
      <c r="B16" s="26">
        <v>46226</v>
      </c>
      <c r="C16" s="13" t="s">
        <v>43</v>
      </c>
      <c r="D16" s="13">
        <v>4800108589</v>
      </c>
      <c r="E16" s="13" t="s">
        <v>23</v>
      </c>
      <c r="F16" s="13" t="s">
        <v>44</v>
      </c>
      <c r="G16" s="13" t="s">
        <v>54</v>
      </c>
      <c r="H16" s="13" t="s">
        <v>56</v>
      </c>
      <c r="I16" s="13" t="s">
        <v>46</v>
      </c>
      <c r="J16" s="13" t="s">
        <v>55</v>
      </c>
      <c r="K16" s="13">
        <v>10</v>
      </c>
      <c r="L16" s="13"/>
      <c r="M16" s="10"/>
      <c r="N16" s="10"/>
      <c r="O16" s="13">
        <v>13300</v>
      </c>
      <c r="P16" s="6"/>
      <c r="Q16" s="6"/>
      <c r="R16" s="6"/>
      <c r="S16" s="6">
        <f t="shared" si="0"/>
        <v>13300</v>
      </c>
      <c r="T16" s="2" t="str">
        <f t="shared" ref="T16:U18" si="1">T3</f>
        <v>MFM (RGL)</v>
      </c>
      <c r="U16" s="16">
        <f t="shared" si="1"/>
        <v>75000</v>
      </c>
      <c r="V16" s="16">
        <f>L29</f>
        <v>0</v>
      </c>
      <c r="W16" s="16">
        <f>V16*5%</f>
        <v>0</v>
      </c>
      <c r="X16" s="16">
        <f>V16+W16</f>
        <v>0</v>
      </c>
      <c r="Y16" s="16">
        <f>U16-X16</f>
        <v>75000</v>
      </c>
    </row>
    <row r="17" spans="1:25" x14ac:dyDescent="0.3">
      <c r="A17" s="13">
        <v>63</v>
      </c>
      <c r="B17" s="26">
        <v>46240</v>
      </c>
      <c r="C17" s="13" t="s">
        <v>43</v>
      </c>
      <c r="D17" s="13">
        <v>4800108589</v>
      </c>
      <c r="E17" s="13" t="s">
        <v>23</v>
      </c>
      <c r="F17" s="13" t="s">
        <v>44</v>
      </c>
      <c r="G17" s="13" t="s">
        <v>54</v>
      </c>
      <c r="H17" s="13" t="s">
        <v>52</v>
      </c>
      <c r="I17" s="13" t="s">
        <v>46</v>
      </c>
      <c r="J17" s="13" t="s">
        <v>47</v>
      </c>
      <c r="K17" s="13">
        <v>12</v>
      </c>
      <c r="L17" s="13"/>
      <c r="M17" s="13">
        <v>14350</v>
      </c>
      <c r="N17" s="10"/>
      <c r="O17" s="17"/>
      <c r="P17" s="6"/>
      <c r="Q17" s="6"/>
      <c r="R17" s="6"/>
      <c r="S17" s="6">
        <f t="shared" si="0"/>
        <v>14350</v>
      </c>
      <c r="T17" s="2" t="str">
        <f t="shared" si="1"/>
        <v>LFM(RGL)</v>
      </c>
      <c r="U17" s="16">
        <f t="shared" si="1"/>
        <v>80000</v>
      </c>
      <c r="V17" s="16">
        <f>M29</f>
        <v>14350</v>
      </c>
      <c r="W17" s="16">
        <f t="shared" ref="W17:W20" si="2">V17*5%</f>
        <v>717.5</v>
      </c>
      <c r="X17" s="16">
        <f t="shared" ref="X17:X21" si="3">V17+W17</f>
        <v>15067.5</v>
      </c>
      <c r="Y17" s="16">
        <f t="shared" ref="Y17:Y21" si="4">U17-X17</f>
        <v>64932.5</v>
      </c>
    </row>
    <row r="18" spans="1:25" x14ac:dyDescent="0.3">
      <c r="A18" s="13"/>
      <c r="B18" s="26">
        <v>46240</v>
      </c>
      <c r="C18" s="13" t="s">
        <v>43</v>
      </c>
      <c r="D18" s="13">
        <v>4800110294</v>
      </c>
      <c r="E18" s="13" t="s">
        <v>4</v>
      </c>
      <c r="F18" s="13" t="s">
        <v>48</v>
      </c>
      <c r="G18" s="13" t="s">
        <v>3</v>
      </c>
      <c r="H18" s="13" t="s">
        <v>36</v>
      </c>
      <c r="I18" s="13" t="s">
        <v>46</v>
      </c>
      <c r="J18" s="13" t="s">
        <v>47</v>
      </c>
      <c r="K18" s="13">
        <v>9</v>
      </c>
      <c r="L18" s="13"/>
      <c r="M18" s="10"/>
      <c r="N18" s="13">
        <v>11700</v>
      </c>
      <c r="O18" s="17"/>
      <c r="P18" s="17"/>
      <c r="Q18" s="6"/>
      <c r="R18" s="6"/>
      <c r="S18" s="6">
        <f t="shared" si="0"/>
        <v>11700</v>
      </c>
      <c r="T18" s="2" t="str">
        <f t="shared" si="1"/>
        <v>FD</v>
      </c>
      <c r="U18" s="16">
        <f t="shared" si="1"/>
        <v>60000</v>
      </c>
      <c r="V18" s="16">
        <f>N29</f>
        <v>16700</v>
      </c>
      <c r="W18" s="16">
        <f t="shared" si="2"/>
        <v>835</v>
      </c>
      <c r="X18" s="16">
        <f t="shared" si="3"/>
        <v>17535</v>
      </c>
      <c r="Y18" s="16">
        <f t="shared" si="4"/>
        <v>42465</v>
      </c>
    </row>
    <row r="19" spans="1:25" x14ac:dyDescent="0.3">
      <c r="A19" s="10"/>
      <c r="B19" s="10"/>
      <c r="C19" s="10"/>
      <c r="D19" s="12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6"/>
      <c r="P19" s="17"/>
      <c r="Q19" s="6"/>
      <c r="R19" s="6"/>
      <c r="S19" s="6">
        <f t="shared" si="0"/>
        <v>0</v>
      </c>
      <c r="T19" s="2" t="str">
        <f t="shared" ref="T19:U21" si="5">T6</f>
        <v>G.M (RGL)</v>
      </c>
      <c r="U19" s="16">
        <f t="shared" si="5"/>
        <v>60000</v>
      </c>
      <c r="V19" s="16">
        <f>O29</f>
        <v>13300</v>
      </c>
      <c r="W19" s="16">
        <f t="shared" si="2"/>
        <v>665</v>
      </c>
      <c r="X19" s="16">
        <f t="shared" si="3"/>
        <v>13965</v>
      </c>
      <c r="Y19" s="16">
        <f t="shared" si="4"/>
        <v>46035</v>
      </c>
    </row>
    <row r="20" spans="1:25" x14ac:dyDescent="0.3">
      <c r="A20" s="10"/>
      <c r="B20" s="10"/>
      <c r="C20" s="10"/>
      <c r="D20" s="12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6"/>
      <c r="Q20" s="6"/>
      <c r="R20" s="6"/>
      <c r="S20" s="6">
        <f t="shared" si="0"/>
        <v>0</v>
      </c>
      <c r="T20" s="2" t="str">
        <f t="shared" si="5"/>
        <v>G.M (Regular)</v>
      </c>
      <c r="U20" s="16">
        <f t="shared" si="5"/>
        <v>50000</v>
      </c>
      <c r="V20" s="16">
        <f>P29</f>
        <v>0</v>
      </c>
      <c r="W20" s="16">
        <f t="shared" si="2"/>
        <v>0</v>
      </c>
      <c r="X20" s="16">
        <f t="shared" si="3"/>
        <v>0</v>
      </c>
      <c r="Y20" s="16">
        <f t="shared" si="4"/>
        <v>50000</v>
      </c>
    </row>
    <row r="21" spans="1:25" x14ac:dyDescent="0.3">
      <c r="A21" s="14"/>
      <c r="B21" s="15"/>
      <c r="C21" s="14"/>
      <c r="D21" s="18"/>
      <c r="E21" s="14"/>
      <c r="F21" s="14"/>
      <c r="G21" s="14"/>
      <c r="H21" s="14"/>
      <c r="I21" s="14"/>
      <c r="J21" s="14"/>
      <c r="K21" s="14"/>
      <c r="L21" s="14"/>
      <c r="M21" s="19"/>
      <c r="N21" s="19"/>
      <c r="O21" s="16"/>
      <c r="P21" s="16"/>
      <c r="Q21" s="16"/>
      <c r="R21" s="16"/>
      <c r="S21" s="1">
        <f t="shared" si="0"/>
        <v>0</v>
      </c>
      <c r="T21" s="2" t="str">
        <f t="shared" si="5"/>
        <v>BVC</v>
      </c>
      <c r="U21" s="16">
        <f t="shared" si="5"/>
        <v>210000</v>
      </c>
      <c r="V21" s="16">
        <f>Q29</f>
        <v>210000</v>
      </c>
      <c r="W21" s="16"/>
      <c r="X21" s="16">
        <f t="shared" si="3"/>
        <v>210000</v>
      </c>
      <c r="Y21" s="16">
        <f t="shared" si="4"/>
        <v>0</v>
      </c>
    </row>
    <row r="22" spans="1:25" x14ac:dyDescent="0.3">
      <c r="A22" s="14"/>
      <c r="B22" s="15"/>
      <c r="C22" s="14"/>
      <c r="D22" s="18"/>
      <c r="E22" s="14"/>
      <c r="F22" s="14"/>
      <c r="G22" s="14"/>
      <c r="H22" s="14"/>
      <c r="I22" s="14"/>
      <c r="J22" s="14"/>
      <c r="K22" s="14"/>
      <c r="L22" s="14"/>
      <c r="M22" s="1"/>
      <c r="N22" s="1"/>
      <c r="O22" s="1"/>
      <c r="P22" s="1"/>
      <c r="Q22" s="1"/>
      <c r="R22" s="1"/>
      <c r="S22" s="1">
        <f t="shared" si="0"/>
        <v>0</v>
      </c>
      <c r="T22" s="8" t="s">
        <v>9</v>
      </c>
      <c r="U22" s="3">
        <f>SUM(U16:U21)</f>
        <v>535000</v>
      </c>
      <c r="V22" s="16">
        <f>SUM(V16:V21)</f>
        <v>254350</v>
      </c>
      <c r="W22" s="16">
        <f>SUM(W16:W21)</f>
        <v>2217.5</v>
      </c>
      <c r="X22" s="16">
        <f>SUM(X16:X21)</f>
        <v>256567.5</v>
      </c>
      <c r="Y22" s="3">
        <f>SUM(Y16:Y21)</f>
        <v>278432.5</v>
      </c>
    </row>
    <row r="23" spans="1:25" x14ac:dyDescent="0.3">
      <c r="A23" s="14"/>
      <c r="B23" s="15"/>
      <c r="C23" s="14"/>
      <c r="D23" s="18"/>
      <c r="E23" s="14"/>
      <c r="F23" s="14"/>
      <c r="G23" s="14"/>
      <c r="H23" s="14"/>
      <c r="I23" s="14"/>
      <c r="J23" s="14"/>
      <c r="K23" s="14"/>
      <c r="L23" s="14"/>
      <c r="M23" s="20"/>
      <c r="N23" s="20"/>
      <c r="O23" s="20"/>
      <c r="P23" s="20"/>
      <c r="Q23" s="20"/>
      <c r="R23" s="20"/>
      <c r="S23" s="1">
        <f t="shared" si="0"/>
        <v>0</v>
      </c>
      <c r="T23" s="1"/>
      <c r="U23" s="1"/>
      <c r="V23" s="1"/>
      <c r="W23" s="1"/>
      <c r="X23" s="1"/>
      <c r="Y23" s="1"/>
    </row>
    <row r="24" spans="1:25" x14ac:dyDescent="0.3">
      <c r="A24" s="14"/>
      <c r="B24" s="15"/>
      <c r="C24" s="14"/>
      <c r="D24" s="18"/>
      <c r="E24" s="14"/>
      <c r="F24" s="14"/>
      <c r="G24" s="14"/>
      <c r="H24" s="14"/>
      <c r="I24" s="14"/>
      <c r="J24" s="14"/>
      <c r="K24" s="14"/>
      <c r="L24" s="14"/>
      <c r="M24" s="14"/>
      <c r="N24" s="1"/>
      <c r="O24" s="1"/>
      <c r="P24" s="1"/>
      <c r="Q24" s="1"/>
      <c r="R24" s="1"/>
      <c r="S24" s="1">
        <f t="shared" si="0"/>
        <v>0</v>
      </c>
      <c r="T24" s="1"/>
      <c r="U24" s="1"/>
      <c r="V24" s="1"/>
      <c r="W24" s="1"/>
      <c r="X24" s="1"/>
      <c r="Y24" s="1"/>
    </row>
    <row r="25" spans="1:25" x14ac:dyDescent="0.3">
      <c r="A25" s="14"/>
      <c r="B25" s="15"/>
      <c r="C25" s="14"/>
      <c r="D25" s="18"/>
      <c r="E25" s="14"/>
      <c r="F25" s="14"/>
      <c r="G25" s="14"/>
      <c r="H25" s="14"/>
      <c r="I25" s="14"/>
      <c r="J25" s="14"/>
      <c r="K25" s="14"/>
      <c r="L25" s="14"/>
      <c r="M25" s="1"/>
      <c r="N25" s="14"/>
      <c r="O25" s="1"/>
      <c r="P25" s="1"/>
      <c r="Q25" s="1"/>
      <c r="R25" s="1"/>
      <c r="S25" s="1">
        <f t="shared" si="0"/>
        <v>0</v>
      </c>
      <c r="T25" s="1"/>
      <c r="U25" s="1"/>
      <c r="V25" s="1"/>
      <c r="W25" s="1"/>
      <c r="X25" s="1"/>
      <c r="Y25" s="1"/>
    </row>
    <row r="26" spans="1:25" x14ac:dyDescent="0.3">
      <c r="A26" s="14"/>
      <c r="B26" s="15"/>
      <c r="C26" s="14"/>
      <c r="D26" s="18"/>
      <c r="E26" s="14"/>
      <c r="F26" s="14"/>
      <c r="G26" s="14"/>
      <c r="H26" s="14"/>
      <c r="I26" s="14"/>
      <c r="J26" s="14"/>
      <c r="K26" s="14"/>
      <c r="L26" s="14"/>
      <c r="M26" s="1"/>
      <c r="N26" s="14"/>
      <c r="O26" s="1"/>
      <c r="P26" s="14"/>
      <c r="Q26" s="1"/>
      <c r="R26" s="1"/>
      <c r="S26" s="1">
        <f t="shared" si="0"/>
        <v>0</v>
      </c>
      <c r="T26" s="1"/>
      <c r="U26" s="1"/>
      <c r="V26" s="1"/>
      <c r="W26" s="1"/>
      <c r="X26" s="1"/>
      <c r="Y26" s="1"/>
    </row>
    <row r="27" spans="1:25" x14ac:dyDescent="0.3">
      <c r="A27" s="14"/>
      <c r="B27" s="15"/>
      <c r="C27" s="14"/>
      <c r="D27" s="18"/>
      <c r="E27" s="14"/>
      <c r="F27" s="14"/>
      <c r="G27" s="14"/>
      <c r="H27" s="14"/>
      <c r="I27" s="14"/>
      <c r="J27" s="14"/>
      <c r="K27" s="14"/>
      <c r="L27" s="14"/>
      <c r="M27" s="1"/>
      <c r="N27" s="1"/>
      <c r="O27" s="1"/>
      <c r="P27" s="14"/>
      <c r="Q27" s="1"/>
      <c r="R27" s="1"/>
      <c r="S27" s="1">
        <f t="shared" si="0"/>
        <v>0</v>
      </c>
      <c r="T27" s="1"/>
      <c r="U27" s="1"/>
      <c r="V27" s="1"/>
      <c r="W27" s="1"/>
      <c r="X27" s="1"/>
      <c r="Y27" s="1"/>
    </row>
    <row r="28" spans="1:25" x14ac:dyDescent="0.3">
      <c r="A28" s="14"/>
      <c r="B28" s="15"/>
      <c r="C28" s="14"/>
      <c r="D28" s="18"/>
      <c r="E28" s="14"/>
      <c r="F28" s="14"/>
      <c r="G28" s="14"/>
      <c r="H28" s="14"/>
      <c r="I28" s="14"/>
      <c r="J28" s="14"/>
      <c r="K28" s="14"/>
      <c r="L28" s="1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3">
        <f>SUM(L12:L27)</f>
        <v>0</v>
      </c>
      <c r="M29" s="3">
        <f>SUM(M12:M27)</f>
        <v>14350</v>
      </c>
      <c r="N29" s="3">
        <f t="shared" ref="N29:R29" si="6">SUM(N12:N27)</f>
        <v>16700</v>
      </c>
      <c r="O29" s="3">
        <f t="shared" si="6"/>
        <v>13300</v>
      </c>
      <c r="P29" s="3">
        <f t="shared" si="6"/>
        <v>0</v>
      </c>
      <c r="Q29" s="3">
        <f t="shared" si="6"/>
        <v>210000</v>
      </c>
      <c r="R29" s="3">
        <f t="shared" si="6"/>
        <v>0</v>
      </c>
      <c r="S29" s="3">
        <f>SUM(S12:S27)</f>
        <v>254350</v>
      </c>
      <c r="T29" s="1"/>
      <c r="U29" s="1"/>
      <c r="V29" s="1"/>
      <c r="W29" s="1"/>
      <c r="X29" s="1"/>
      <c r="Y29" s="1"/>
    </row>
  </sheetData>
  <mergeCells count="16">
    <mergeCell ref="V10:W10"/>
    <mergeCell ref="A6:B6"/>
    <mergeCell ref="F6:H6"/>
    <mergeCell ref="M6:N6"/>
    <mergeCell ref="A7:C7"/>
    <mergeCell ref="D7:F9"/>
    <mergeCell ref="D10:D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Herb (MA)</vt:lpstr>
      <vt:lpstr>Fungi (MA)</vt:lpstr>
      <vt:lpstr>Pyraxalt (MA)</vt:lpstr>
      <vt:lpstr>Biologicals(MA)</vt:lpstr>
      <vt:lpstr>Herbi (MKTG)</vt:lpstr>
      <vt:lpstr>Spinosyn,Eng (MA)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Rohit</dc:creator>
  <cp:lastModifiedBy>K Rohit</cp:lastModifiedBy>
  <dcterms:created xsi:type="dcterms:W3CDTF">2015-06-05T18:17:20Z</dcterms:created>
  <dcterms:modified xsi:type="dcterms:W3CDTF">2026-08-26T10:33:50Z</dcterms:modified>
</cp:coreProperties>
</file>